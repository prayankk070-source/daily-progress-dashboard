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OneDrive\Desktop\AIIMS REWARI\"/>
    </mc:Choice>
  </mc:AlternateContent>
  <xr:revisionPtr revIDLastSave="0" documentId="8_{4818BF0C-29A6-495B-AFB5-98BEC1DB1199}" xr6:coauthVersionLast="47" xr6:coauthVersionMax="47" xr10:uidLastSave="{00000000-0000-0000-0000-000000000000}"/>
  <bookViews>
    <workbookView xWindow="-110" yWindow="-110" windowWidth="25820" windowHeight="15500" activeTab="1" xr2:uid="{0D064328-DC67-411D-BEE3-DF99AB8C76F2}"/>
  </bookViews>
  <sheets>
    <sheet name="OPD" sheetId="1" r:id="rId1"/>
    <sheet name="EMR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8544" i="2" l="1"/>
  <c r="H71" i="2"/>
  <c r="I71" i="2" s="1"/>
  <c r="C71" i="2"/>
  <c r="H70" i="2"/>
  <c r="I70" i="2" s="1"/>
  <c r="C70" i="2"/>
  <c r="H69" i="2"/>
  <c r="I69" i="2" s="1"/>
  <c r="H68" i="2"/>
  <c r="I68" i="2" s="1"/>
  <c r="H67" i="2"/>
  <c r="I67" i="2" s="1"/>
  <c r="H66" i="2"/>
  <c r="I66" i="2" s="1"/>
  <c r="H64" i="2"/>
  <c r="I64" i="2" s="1"/>
  <c r="J64" i="2" s="1"/>
  <c r="I63" i="2"/>
  <c r="J63" i="2" s="1"/>
  <c r="H63" i="2"/>
  <c r="H62" i="2"/>
  <c r="I62" i="2" s="1"/>
  <c r="J62" i="2" s="1"/>
  <c r="H60" i="2"/>
  <c r="I60" i="2" s="1"/>
  <c r="J60" i="2" s="1"/>
  <c r="G60" i="2"/>
  <c r="H59" i="2"/>
  <c r="I59" i="2" s="1"/>
  <c r="J59" i="2" s="1"/>
  <c r="G59" i="2"/>
  <c r="H58" i="2"/>
  <c r="I58" i="2" s="1"/>
  <c r="J58" i="2" s="1"/>
  <c r="G58" i="2"/>
  <c r="E57" i="2"/>
  <c r="H57" i="2" s="1"/>
  <c r="I57" i="2" s="1"/>
  <c r="I56" i="2"/>
  <c r="H56" i="2"/>
  <c r="G56" i="2"/>
  <c r="H55" i="2"/>
  <c r="I55" i="2" s="1"/>
  <c r="J55" i="2" s="1"/>
  <c r="G55" i="2"/>
  <c r="H54" i="2"/>
  <c r="I54" i="2" s="1"/>
  <c r="J54" i="2" s="1"/>
  <c r="G54" i="2"/>
  <c r="H53" i="2"/>
  <c r="I53" i="2" s="1"/>
  <c r="J53" i="2" s="1"/>
  <c r="G53" i="2"/>
  <c r="H52" i="2"/>
  <c r="I52" i="2" s="1"/>
  <c r="G52" i="2"/>
  <c r="H51" i="2"/>
  <c r="I51" i="2" s="1"/>
  <c r="G51" i="2"/>
  <c r="H49" i="2"/>
  <c r="I49" i="2" s="1"/>
  <c r="J49" i="2" s="1"/>
  <c r="G49" i="2"/>
  <c r="H48" i="2"/>
  <c r="I48" i="2" s="1"/>
  <c r="J48" i="2" s="1"/>
  <c r="G48" i="2"/>
  <c r="H47" i="2"/>
  <c r="I47" i="2" s="1"/>
  <c r="J47" i="2" s="1"/>
  <c r="G47" i="2"/>
  <c r="H46" i="2"/>
  <c r="I46" i="2" s="1"/>
  <c r="J46" i="2" s="1"/>
  <c r="G46" i="2"/>
  <c r="H45" i="2"/>
  <c r="I45" i="2" s="1"/>
  <c r="J45" i="2" s="1"/>
  <c r="G45" i="2"/>
  <c r="E44" i="2"/>
  <c r="H44" i="2" s="1"/>
  <c r="I44" i="2" s="1"/>
  <c r="J44" i="2" s="1"/>
  <c r="H43" i="2"/>
  <c r="I43" i="2" s="1"/>
  <c r="J43" i="2" s="1"/>
  <c r="G43" i="2"/>
  <c r="E40" i="2"/>
  <c r="H40" i="2" s="1"/>
  <c r="I40" i="2" s="1"/>
  <c r="J40" i="2" s="1"/>
  <c r="H39" i="2"/>
  <c r="I39" i="2" s="1"/>
  <c r="J39" i="2" s="1"/>
  <c r="G39" i="2"/>
  <c r="J38" i="2"/>
  <c r="I38" i="2"/>
  <c r="H38" i="2"/>
  <c r="G38" i="2"/>
  <c r="H37" i="2"/>
  <c r="I37" i="2" s="1"/>
  <c r="J37" i="2" s="1"/>
  <c r="G37" i="2"/>
  <c r="H36" i="2"/>
  <c r="I36" i="2" s="1"/>
  <c r="J36" i="2" s="1"/>
  <c r="G36" i="2"/>
  <c r="E34" i="2"/>
  <c r="G34" i="2" s="1"/>
  <c r="H33" i="2"/>
  <c r="I33" i="2" s="1"/>
  <c r="J33" i="2" s="1"/>
  <c r="G33" i="2"/>
  <c r="J32" i="2"/>
  <c r="I32" i="2"/>
  <c r="H32" i="2"/>
  <c r="G32" i="2"/>
  <c r="H31" i="2"/>
  <c r="I31" i="2" s="1"/>
  <c r="J31" i="2" s="1"/>
  <c r="G31" i="2"/>
  <c r="H29" i="2"/>
  <c r="H28" i="2"/>
  <c r="H26" i="2"/>
  <c r="H25" i="2"/>
  <c r="H23" i="2"/>
  <c r="H22" i="2"/>
  <c r="H20" i="2"/>
  <c r="H16" i="2"/>
  <c r="I16" i="2" s="1"/>
  <c r="J16" i="2" s="1"/>
  <c r="G16" i="2"/>
  <c r="I15" i="2"/>
  <c r="J15" i="2" s="1"/>
  <c r="H15" i="2"/>
  <c r="G15" i="2"/>
  <c r="H14" i="2"/>
  <c r="I14" i="2" s="1"/>
  <c r="J14" i="2" s="1"/>
  <c r="G14" i="2"/>
  <c r="E13" i="2"/>
  <c r="G13" i="2" s="1"/>
  <c r="E12" i="2"/>
  <c r="G12" i="2" s="1"/>
  <c r="B12" i="2"/>
  <c r="B13" i="2" s="1"/>
  <c r="I11" i="2"/>
  <c r="J11" i="2" s="1"/>
  <c r="H11" i="2"/>
  <c r="E11" i="2"/>
  <c r="G11" i="2" s="1"/>
  <c r="B11" i="2"/>
  <c r="E10" i="2"/>
  <c r="G10" i="2" s="1"/>
  <c r="E9" i="2"/>
  <c r="G9" i="2" s="1"/>
  <c r="C9" i="2"/>
  <c r="H8" i="2"/>
  <c r="I8" i="2" s="1"/>
  <c r="J8" i="2" s="1"/>
  <c r="G8" i="2"/>
  <c r="J7" i="2"/>
  <c r="I7" i="2"/>
  <c r="H7" i="2"/>
  <c r="G7" i="2"/>
  <c r="E6" i="2"/>
  <c r="H6" i="2" s="1"/>
  <c r="I6" i="2" s="1"/>
  <c r="J6" i="2" s="1"/>
  <c r="I1048571" i="1"/>
  <c r="G76" i="1"/>
  <c r="H76" i="1" s="1"/>
  <c r="I76" i="1" s="1"/>
  <c r="J76" i="1" s="1"/>
  <c r="G75" i="1"/>
  <c r="H75" i="1" s="1"/>
  <c r="I75" i="1" s="1"/>
  <c r="J75" i="1" s="1"/>
  <c r="G74" i="1"/>
  <c r="H74" i="1" s="1"/>
  <c r="I74" i="1" s="1"/>
  <c r="J74" i="1" s="1"/>
  <c r="G73" i="1"/>
  <c r="H73" i="1" s="1"/>
  <c r="I73" i="1" s="1"/>
  <c r="J73" i="1" s="1"/>
  <c r="H71" i="1"/>
  <c r="I71" i="1" s="1"/>
  <c r="J71" i="1" s="1"/>
  <c r="G71" i="1"/>
  <c r="E71" i="1"/>
  <c r="G70" i="1"/>
  <c r="H70" i="1" s="1"/>
  <c r="I70" i="1" s="1"/>
  <c r="J70" i="1" s="1"/>
  <c r="G69" i="1"/>
  <c r="H69" i="1" s="1"/>
  <c r="I69" i="1" s="1"/>
  <c r="J69" i="1" s="1"/>
  <c r="G68" i="1"/>
  <c r="H68" i="1" s="1"/>
  <c r="I68" i="1" s="1"/>
  <c r="J68" i="1" s="1"/>
  <c r="G67" i="1"/>
  <c r="H67" i="1" s="1"/>
  <c r="I67" i="1" s="1"/>
  <c r="J67" i="1" s="1"/>
  <c r="I65" i="1"/>
  <c r="J65" i="1" s="1"/>
  <c r="H65" i="1"/>
  <c r="G65" i="1"/>
  <c r="G64" i="1"/>
  <c r="H64" i="1" s="1"/>
  <c r="I64" i="1" s="1"/>
  <c r="J64" i="1" s="1"/>
  <c r="G63" i="1"/>
  <c r="H63" i="1" s="1"/>
  <c r="I63" i="1" s="1"/>
  <c r="J63" i="1" s="1"/>
  <c r="G62" i="1"/>
  <c r="H62" i="1" s="1"/>
  <c r="I62" i="1" s="1"/>
  <c r="J62" i="1" s="1"/>
  <c r="G61" i="1"/>
  <c r="H61" i="1" s="1"/>
  <c r="I61" i="1" s="1"/>
  <c r="J61" i="1" s="1"/>
  <c r="C61" i="1"/>
  <c r="G60" i="1"/>
  <c r="H60" i="1" s="1"/>
  <c r="I60" i="1" s="1"/>
  <c r="J60" i="1" s="1"/>
  <c r="G59" i="1"/>
  <c r="H59" i="1" s="1"/>
  <c r="I59" i="1" s="1"/>
  <c r="J59" i="1" s="1"/>
  <c r="G58" i="1"/>
  <c r="H58" i="1" s="1"/>
  <c r="I58" i="1" s="1"/>
  <c r="J58" i="1" s="1"/>
  <c r="G57" i="1"/>
  <c r="H57" i="1" s="1"/>
  <c r="I57" i="1" s="1"/>
  <c r="J57" i="1" s="1"/>
  <c r="G56" i="1"/>
  <c r="H56" i="1" s="1"/>
  <c r="I56" i="1" s="1"/>
  <c r="J56" i="1" s="1"/>
  <c r="G55" i="1"/>
  <c r="H55" i="1" s="1"/>
  <c r="I55" i="1" s="1"/>
  <c r="J55" i="1" s="1"/>
  <c r="G53" i="1"/>
  <c r="H53" i="1" s="1"/>
  <c r="I53" i="1" s="1"/>
  <c r="J53" i="1" s="1"/>
  <c r="G52" i="1"/>
  <c r="H52" i="1" s="1"/>
  <c r="I52" i="1" s="1"/>
  <c r="J52" i="1" s="1"/>
  <c r="G51" i="1"/>
  <c r="H51" i="1" s="1"/>
  <c r="I51" i="1" s="1"/>
  <c r="J51" i="1" s="1"/>
  <c r="E51" i="1"/>
  <c r="G50" i="1"/>
  <c r="H50" i="1" s="1"/>
  <c r="I50" i="1" s="1"/>
  <c r="J50" i="1" s="1"/>
  <c r="E49" i="1"/>
  <c r="G49" i="1" s="1"/>
  <c r="H49" i="1" s="1"/>
  <c r="I49" i="1" s="1"/>
  <c r="J49" i="1" s="1"/>
  <c r="E48" i="1"/>
  <c r="G47" i="1"/>
  <c r="H47" i="1" s="1"/>
  <c r="I47" i="1" s="1"/>
  <c r="J47" i="1" s="1"/>
  <c r="G44" i="1"/>
  <c r="H44" i="1" s="1"/>
  <c r="E43" i="1"/>
  <c r="G43" i="1" s="1"/>
  <c r="H43" i="1" s="1"/>
  <c r="G42" i="1"/>
  <c r="H42" i="1" s="1"/>
  <c r="I42" i="1" s="1"/>
  <c r="J42" i="1" s="1"/>
  <c r="C42" i="1"/>
  <c r="C43" i="1" s="1"/>
  <c r="B44" i="1" s="1"/>
  <c r="C44" i="1" s="1"/>
  <c r="B42" i="1"/>
  <c r="H41" i="1"/>
  <c r="I41" i="1" s="1"/>
  <c r="J41" i="1" s="1"/>
  <c r="G41" i="1"/>
  <c r="G40" i="1"/>
  <c r="H40" i="1" s="1"/>
  <c r="I40" i="1" s="1"/>
  <c r="J40" i="1" s="1"/>
  <c r="C40" i="1"/>
  <c r="B40" i="1"/>
  <c r="E39" i="1"/>
  <c r="G37" i="1"/>
  <c r="H37" i="1" s="1"/>
  <c r="B37" i="1"/>
  <c r="C37" i="1" s="1"/>
  <c r="G36" i="1"/>
  <c r="H36" i="1" s="1"/>
  <c r="I36" i="1" s="1"/>
  <c r="J36" i="1" s="1"/>
  <c r="C36" i="1"/>
  <c r="E35" i="1"/>
  <c r="C35" i="1"/>
  <c r="B35" i="1"/>
  <c r="G34" i="1"/>
  <c r="H34" i="1" s="1"/>
  <c r="I34" i="1" s="1"/>
  <c r="J34" i="1" s="1"/>
  <c r="G33" i="1"/>
  <c r="H33" i="1" s="1"/>
  <c r="I33" i="1" s="1"/>
  <c r="J33" i="1" s="1"/>
  <c r="C33" i="1"/>
  <c r="B33" i="1"/>
  <c r="G32" i="1"/>
  <c r="H32" i="1" s="1"/>
  <c r="I32" i="1" s="1"/>
  <c r="J32" i="1" s="1"/>
  <c r="G30" i="1"/>
  <c r="H30" i="1" s="1"/>
  <c r="E29" i="1"/>
  <c r="C29" i="1"/>
  <c r="B30" i="1" s="1"/>
  <c r="C30" i="1" s="1"/>
  <c r="G28" i="1"/>
  <c r="H28" i="1" s="1"/>
  <c r="I28" i="1" s="1"/>
  <c r="J28" i="1" s="1"/>
  <c r="C28" i="1"/>
  <c r="B28" i="1"/>
  <c r="H27" i="1"/>
  <c r="I27" i="1" s="1"/>
  <c r="J27" i="1" s="1"/>
  <c r="G27" i="1"/>
  <c r="H26" i="1"/>
  <c r="G26" i="1"/>
  <c r="C26" i="1"/>
  <c r="I26" i="1" s="1"/>
  <c r="J26" i="1" s="1"/>
  <c r="B26" i="1"/>
  <c r="E25" i="1"/>
  <c r="H23" i="1"/>
  <c r="G23" i="1"/>
  <c r="B23" i="1"/>
  <c r="C23" i="1" s="1"/>
  <c r="E22" i="1"/>
  <c r="C22" i="1"/>
  <c r="H21" i="1"/>
  <c r="I21" i="1" s="1"/>
  <c r="J21" i="1" s="1"/>
  <c r="G21" i="1"/>
  <c r="C21" i="1"/>
  <c r="B21" i="1"/>
  <c r="G20" i="1"/>
  <c r="H20" i="1" s="1"/>
  <c r="I20" i="1" s="1"/>
  <c r="J20" i="1" s="1"/>
  <c r="G19" i="1"/>
  <c r="H19" i="1" s="1"/>
  <c r="I19" i="1" s="1"/>
  <c r="J19" i="1" s="1"/>
  <c r="C19" i="1"/>
  <c r="B19" i="1"/>
  <c r="H18" i="1"/>
  <c r="I18" i="1" s="1"/>
  <c r="J18" i="1" s="1"/>
  <c r="G18" i="1"/>
  <c r="H15" i="1"/>
  <c r="I15" i="1" s="1"/>
  <c r="J15" i="1" s="1"/>
  <c r="G15" i="1"/>
  <c r="E15" i="1"/>
  <c r="G14" i="1"/>
  <c r="H14" i="1" s="1"/>
  <c r="I14" i="1" s="1"/>
  <c r="J14" i="1" s="1"/>
  <c r="E13" i="1"/>
  <c r="I12" i="1"/>
  <c r="J12" i="1" s="1"/>
  <c r="H12" i="1"/>
  <c r="G12" i="1"/>
  <c r="G11" i="1"/>
  <c r="H11" i="1" s="1"/>
  <c r="I11" i="1" s="1"/>
  <c r="J11" i="1" s="1"/>
  <c r="G10" i="1"/>
  <c r="H10" i="1" s="1"/>
  <c r="I10" i="1" s="1"/>
  <c r="J10" i="1" s="1"/>
  <c r="G9" i="1"/>
  <c r="H9" i="1" s="1"/>
  <c r="I9" i="1" s="1"/>
  <c r="J9" i="1" s="1"/>
  <c r="G8" i="1"/>
  <c r="H8" i="1" s="1"/>
  <c r="I8" i="1" s="1"/>
  <c r="J8" i="1" s="1"/>
  <c r="E7" i="1"/>
  <c r="G6" i="1"/>
  <c r="H6" i="1" s="1"/>
  <c r="I6" i="1" s="1"/>
  <c r="J6" i="1" s="1"/>
  <c r="G5" i="1"/>
  <c r="H5" i="1" s="1"/>
  <c r="I5" i="1" s="1"/>
  <c r="J5" i="1" s="1"/>
  <c r="H12" i="2" l="1"/>
  <c r="I12" i="2" s="1"/>
  <c r="J12" i="2" s="1"/>
  <c r="H34" i="2"/>
  <c r="I34" i="2" s="1"/>
  <c r="H9" i="2"/>
  <c r="I9" i="2" s="1"/>
  <c r="J9" i="2" s="1"/>
  <c r="H13" i="2"/>
  <c r="I13" i="2" s="1"/>
  <c r="J13" i="2" s="1"/>
  <c r="G6" i="2"/>
  <c r="H10" i="2"/>
  <c r="I10" i="2" s="1"/>
  <c r="J10" i="2" s="1"/>
  <c r="G44" i="2"/>
  <c r="G40" i="2"/>
  <c r="G57" i="2"/>
  <c r="I43" i="1"/>
  <c r="J43" i="1" s="1"/>
  <c r="H35" i="1"/>
  <c r="I35" i="1" s="1"/>
  <c r="J35" i="1" s="1"/>
  <c r="I37" i="1"/>
  <c r="J37" i="1" s="1"/>
  <c r="I44" i="1"/>
  <c r="J44" i="1" s="1"/>
  <c r="I23" i="1"/>
  <c r="J23" i="1" s="1"/>
  <c r="I30" i="1"/>
  <c r="J30" i="1" s="1"/>
  <c r="G13" i="1"/>
  <c r="H13" i="1" s="1"/>
  <c r="I13" i="1" s="1"/>
  <c r="J13" i="1" s="1"/>
  <c r="G29" i="1"/>
  <c r="H29" i="1" s="1"/>
  <c r="I29" i="1" s="1"/>
  <c r="J29" i="1" s="1"/>
  <c r="G48" i="1"/>
  <c r="H48" i="1" s="1"/>
  <c r="I48" i="1" s="1"/>
  <c r="J48" i="1" s="1"/>
  <c r="G25" i="1"/>
  <c r="H25" i="1" s="1"/>
  <c r="I25" i="1" s="1"/>
  <c r="J25" i="1" s="1"/>
  <c r="G39" i="1"/>
  <c r="H39" i="1" s="1"/>
  <c r="I39" i="1" s="1"/>
  <c r="J39" i="1" s="1"/>
  <c r="G7" i="1"/>
  <c r="H7" i="1" s="1"/>
  <c r="I7" i="1" s="1"/>
  <c r="J7" i="1" s="1"/>
  <c r="G22" i="1"/>
  <c r="H22" i="1" s="1"/>
  <c r="I22" i="1" s="1"/>
  <c r="J22" i="1" s="1"/>
  <c r="G35" i="1"/>
</calcChain>
</file>

<file path=xl/sharedStrings.xml><?xml version="1.0" encoding="utf-8"?>
<sst xmlns="http://schemas.openxmlformats.org/spreadsheetml/2006/main" count="300" uniqueCount="117">
  <si>
    <t>OPD BUILDING</t>
  </si>
  <si>
    <t>ACTIVITY</t>
  </si>
  <si>
    <t>PLAN / ACTUAL START</t>
  </si>
  <si>
    <t>TARGET DATE</t>
  </si>
  <si>
    <t>UOM</t>
  </si>
  <si>
    <t>Scope</t>
  </si>
  <si>
    <t>Achieved till on 9th Oct</t>
  </si>
  <si>
    <t>% Achieved</t>
  </si>
  <si>
    <t>Balance</t>
  </si>
  <si>
    <t>Asking Rate</t>
  </si>
  <si>
    <t>No. of workmen Needed</t>
  </si>
  <si>
    <t>No. of workmen available</t>
  </si>
  <si>
    <t>Remarks</t>
  </si>
  <si>
    <t>Finishes</t>
  </si>
  <si>
    <t>Brickwork</t>
  </si>
  <si>
    <t>cum</t>
  </si>
  <si>
    <t>Internal Plaster</t>
  </si>
  <si>
    <t>sqm</t>
  </si>
  <si>
    <t>Joineries</t>
  </si>
  <si>
    <t>No.</t>
  </si>
  <si>
    <t>Flooring &amp; Dado</t>
  </si>
  <si>
    <t>False ceiling - GF</t>
  </si>
  <si>
    <t>False ceiling - FF</t>
  </si>
  <si>
    <t>False ceiling - SF</t>
  </si>
  <si>
    <t>False ceiling - TF</t>
  </si>
  <si>
    <t>Lift facia granite</t>
  </si>
  <si>
    <t>Will start from 12th Oct</t>
  </si>
  <si>
    <t>Interior Works</t>
  </si>
  <si>
    <t>Drawings &amp; TDS under review</t>
  </si>
  <si>
    <t>SS Handrail</t>
  </si>
  <si>
    <t>Rm</t>
  </si>
  <si>
    <t>Drawings will be submitted by 10th Oct</t>
  </si>
  <si>
    <t>External</t>
  </si>
  <si>
    <t>Elevation A</t>
  </si>
  <si>
    <t>MS Canopy foundation WIP</t>
  </si>
  <si>
    <t>Plaster</t>
  </si>
  <si>
    <t>MS framing</t>
  </si>
  <si>
    <t>Mockup works in progress</t>
  </si>
  <si>
    <t>Stone Cladding</t>
  </si>
  <si>
    <t>Glazing</t>
  </si>
  <si>
    <t>Paint</t>
  </si>
  <si>
    <t>Elevation B</t>
  </si>
  <si>
    <t>Elevation C</t>
  </si>
  <si>
    <t>Elevation D</t>
  </si>
  <si>
    <t>Backfilling Works in progress</t>
  </si>
  <si>
    <t>Mechanical Electrical Plumbing ( MEP)</t>
  </si>
  <si>
    <t>First Fixtures</t>
  </si>
  <si>
    <t>Cable Tray Installation</t>
  </si>
  <si>
    <t>CI/Gi Piping</t>
  </si>
  <si>
    <t>Ducting &amp; Insulation</t>
  </si>
  <si>
    <t>Fire Piping installation</t>
  </si>
  <si>
    <t>MGPS Copper Piping</t>
  </si>
  <si>
    <t>PTTS Pipe installation</t>
  </si>
  <si>
    <t>Under deck Insulation</t>
  </si>
  <si>
    <t>Second Fix</t>
  </si>
  <si>
    <t>Wiring</t>
  </si>
  <si>
    <t>Cable Laying &amp; Panel Instt.</t>
  </si>
  <si>
    <t>UPS Installation</t>
  </si>
  <si>
    <t>Dropper Installation</t>
  </si>
  <si>
    <t>HVAC Pipe Testing</t>
  </si>
  <si>
    <t>AHU Connection</t>
  </si>
  <si>
    <t>CAT 6 cabling</t>
  </si>
  <si>
    <t>PA &amp; FAS cabling</t>
  </si>
  <si>
    <t>Fire Panel Installation</t>
  </si>
  <si>
    <t xml:space="preserve">Network Switch </t>
  </si>
  <si>
    <t xml:space="preserve">Final Fixture </t>
  </si>
  <si>
    <t>lot</t>
  </si>
  <si>
    <t>Terrace</t>
  </si>
  <si>
    <t>PHE Piping installation</t>
  </si>
  <si>
    <t>rm</t>
  </si>
  <si>
    <t>Solar Panel Installation</t>
  </si>
  <si>
    <t>Over Head Tank</t>
  </si>
  <si>
    <t>Terrace Waterproofing</t>
  </si>
  <si>
    <t>Truss with Polycarbonate Sheet</t>
  </si>
  <si>
    <t>Lift Installation with slow speed</t>
  </si>
  <si>
    <t xml:space="preserve">2 No.s </t>
  </si>
  <si>
    <t>3 No.s</t>
  </si>
  <si>
    <t xml:space="preserve">1 No. </t>
  </si>
  <si>
    <t>Permanent Power</t>
  </si>
  <si>
    <t>ESS1 to OPD Cable Laying</t>
  </si>
  <si>
    <t>Main LT Panel Energisation</t>
  </si>
  <si>
    <t>Rising Main</t>
  </si>
  <si>
    <t>Testing with Permanent Power / Completion</t>
  </si>
  <si>
    <t xml:space="preserve">Lift </t>
  </si>
  <si>
    <t>IT/Data Services</t>
  </si>
  <si>
    <t>Fire Control System</t>
  </si>
  <si>
    <t>HVAC System</t>
  </si>
  <si>
    <t>EMERGENCY BUILDING</t>
  </si>
  <si>
    <t>Target Date</t>
  </si>
  <si>
    <t>SCOPE</t>
  </si>
  <si>
    <t>Achieved till 9th Oct</t>
  </si>
  <si>
    <t>Manpower Needed</t>
  </si>
  <si>
    <t>Manpower Available</t>
  </si>
  <si>
    <t>Cum</t>
  </si>
  <si>
    <t xml:space="preserve">Lift lobby </t>
  </si>
  <si>
    <t>OT Rooms</t>
  </si>
  <si>
    <t>Ground Floor ( 2 Nos.)</t>
  </si>
  <si>
    <t>Civil Work</t>
  </si>
  <si>
    <t>OT Works</t>
  </si>
  <si>
    <t>2nd Floor (2 Nos.)</t>
  </si>
  <si>
    <t>3rd Floor (12 Nos.)</t>
  </si>
  <si>
    <t>CSSD Room</t>
  </si>
  <si>
    <t>-</t>
  </si>
  <si>
    <t>Service Oriented Work</t>
  </si>
  <si>
    <t>Above Terrace</t>
  </si>
  <si>
    <t>Staircase - Head Room</t>
  </si>
  <si>
    <t>CUM</t>
  </si>
  <si>
    <t>Truss &amp; Polycarbonate Sheet</t>
  </si>
  <si>
    <t xml:space="preserve">External  </t>
  </si>
  <si>
    <t>Fascia Beam</t>
  </si>
  <si>
    <t>CI/GI Piping</t>
  </si>
  <si>
    <t>Final Fixture</t>
  </si>
  <si>
    <t>Lot</t>
  </si>
  <si>
    <t>2 Nos.</t>
  </si>
  <si>
    <t>1 Nos.</t>
  </si>
  <si>
    <t>2 Nos. (Dumb waiter)</t>
  </si>
  <si>
    <t>ESS1 to EMR Cable 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</si>
</sst>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-409]d/mmm/yy;@"/>
    <numFmt numFmtId="166" formatCode="[$-14009]d/m/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42"/>
      <color theme="7"/>
      <name val="Aptos Display"/>
      <family val="2"/>
      <scheme val="major"/>
    </font>
    <font>
      <b/>
      <sz val="24"/>
      <color theme="7"/>
      <name val="Aptos Display"/>
      <family val="2"/>
      <scheme val="major"/>
    </font>
    <font>
      <b/>
      <sz val="12"/>
      <color theme="7"/>
      <name val="Aptos Display"/>
      <family val="2"/>
      <scheme val="major"/>
    </font>
    <font>
      <b/>
      <sz val="12"/>
      <color theme="1" tint="0.34998626667073579"/>
      <name val="Amasis MT Pro Medium"/>
      <family val="1"/>
    </font>
    <font>
      <b/>
      <sz val="13"/>
      <color theme="1" tint="0.24994659260841701"/>
      <name val="Aptos Display"/>
      <family val="2"/>
      <scheme val="major"/>
    </font>
    <font>
      <b/>
      <sz val="18"/>
      <color theme="1" tint="0.24994659260841701"/>
      <name val="Times New Roman"/>
      <family val="1"/>
    </font>
    <font>
      <sz val="18"/>
      <color theme="1" tint="0.24994659260841701"/>
      <name val="Times New Roman"/>
      <family val="1"/>
    </font>
    <font>
      <b/>
      <sz val="14"/>
      <color theme="1" tint="0.24994659260841701"/>
      <name val="Calibri"/>
      <family val="2"/>
    </font>
    <font>
      <sz val="14"/>
      <color theme="1" tint="0.24994659260841701"/>
      <name val="Calibri"/>
      <family val="2"/>
    </font>
    <font>
      <sz val="18"/>
      <color theme="1" tint="0.24994659260841701"/>
      <name val="Aptos Display"/>
      <family val="2"/>
      <scheme val="major"/>
    </font>
    <font>
      <sz val="14"/>
      <color theme="1" tint="0.24994659260841701"/>
      <name val="Aptos Narrow"/>
      <family val="2"/>
      <scheme val="minor"/>
    </font>
    <font>
      <sz val="12"/>
      <color theme="1" tint="0.24994659260841701"/>
      <name val="Amasis MT Pro Medium"/>
      <family val="1"/>
    </font>
    <font>
      <i/>
      <sz val="12"/>
      <color theme="7"/>
      <name val="Amasis MT Pro Medium"/>
      <family val="1"/>
    </font>
    <font>
      <b/>
      <sz val="14"/>
      <color theme="1" tint="0.24994659260841701"/>
      <name val="Times New Roman"/>
      <family val="1"/>
    </font>
    <font>
      <sz val="14"/>
      <color theme="1" tint="0.24994659260841701"/>
      <name val="Times New Roman"/>
      <family val="1"/>
    </font>
    <font>
      <sz val="14"/>
      <color theme="1" tint="0.2499465926084170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1" fillId="0" borderId="0" applyFill="0" applyBorder="0" applyProtection="0">
      <alignment horizontal="left" wrapText="1"/>
    </xf>
    <xf numFmtId="0" fontId="17" fillId="0" borderId="0" applyNumberFormat="0" applyFill="0" applyBorder="0" applyProtection="0">
      <alignment horizontal="left" vertical="center"/>
    </xf>
  </cellStyleXfs>
  <cellXfs count="66">
    <xf numFmtId="0" fontId="0" fillId="0" borderId="0" xfId="0"/>
    <xf numFmtId="0" fontId="8" fillId="0" borderId="4" xfId="2" applyFont="1" applyBorder="1" applyAlignment="1">
      <alignment horizontal="centerContinuous" vertical="center"/>
    </xf>
    <xf numFmtId="164" fontId="3" fillId="0" borderId="5" xfId="3" applyNumberFormat="1" applyBorder="1" applyAlignment="1">
      <alignment horizontal="centerContinuous" vertical="center"/>
    </xf>
    <xf numFmtId="0" fontId="3" fillId="0" borderId="5" xfId="3" applyBorder="1" applyAlignment="1">
      <alignment horizontal="centerContinuous" vertical="center"/>
    </xf>
    <xf numFmtId="1" fontId="3" fillId="0" borderId="5" xfId="3" applyNumberFormat="1" applyBorder="1" applyAlignment="1">
      <alignment horizontal="centerContinuous" vertical="center"/>
    </xf>
    <xf numFmtId="9" fontId="7" fillId="0" borderId="5" xfId="1" applyFont="1" applyBorder="1" applyAlignment="1">
      <alignment horizontal="centerContinuous" vertical="center"/>
    </xf>
    <xf numFmtId="1" fontId="9" fillId="0" borderId="5" xfId="3" applyNumberFormat="1" applyFont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0" fillId="0" borderId="6" xfId="4" applyFont="1" applyBorder="1" applyAlignment="1">
      <alignment vertical="center"/>
    </xf>
    <xf numFmtId="164" fontId="10" fillId="0" borderId="6" xfId="5" applyNumberFormat="1" applyFont="1" applyBorder="1" applyAlignment="1">
      <alignment horizontal="center" vertical="center" wrapText="1"/>
    </xf>
    <xf numFmtId="0" fontId="10" fillId="0" borderId="6" xfId="5" applyFont="1" applyBorder="1" applyAlignment="1">
      <alignment horizontal="center" vertical="center" wrapText="1"/>
    </xf>
    <xf numFmtId="1" fontId="10" fillId="0" borderId="7" xfId="5" applyNumberFormat="1" applyFont="1" applyBorder="1" applyAlignment="1">
      <alignment horizontal="center" vertical="center" wrapText="1"/>
    </xf>
    <xf numFmtId="9" fontId="10" fillId="0" borderId="6" xfId="1" applyFont="1" applyBorder="1" applyAlignment="1">
      <alignment horizontal="center" vertical="center" wrapText="1"/>
    </xf>
    <xf numFmtId="1" fontId="10" fillId="0" borderId="6" xfId="5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0" fillId="0" borderId="7" xfId="5" applyNumberFormat="1" applyFont="1" applyBorder="1" applyAlignment="1">
      <alignment horizontal="center" vertical="center" wrapText="1"/>
    </xf>
    <xf numFmtId="0" fontId="10" fillId="0" borderId="7" xfId="5" applyFont="1" applyBorder="1" applyAlignment="1">
      <alignment horizontal="center" vertical="center" wrapText="1"/>
    </xf>
    <xf numFmtId="1" fontId="10" fillId="0" borderId="8" xfId="5" applyNumberFormat="1" applyFont="1" applyBorder="1" applyAlignment="1">
      <alignment horizontal="center" vertical="center" wrapText="1"/>
    </xf>
    <xf numFmtId="9" fontId="10" fillId="0" borderId="7" xfId="1" applyFont="1" applyBorder="1" applyAlignment="1">
      <alignment horizontal="center" vertical="center" wrapText="1"/>
    </xf>
    <xf numFmtId="0" fontId="12" fillId="2" borderId="0" xfId="7" applyFont="1" applyFill="1" applyAlignment="1">
      <alignment horizontal="centerContinuous" vertical="center" wrapText="1"/>
    </xf>
    <xf numFmtId="164" fontId="13" fillId="2" borderId="0" xfId="0" applyNumberFormat="1" applyFont="1" applyFill="1" applyAlignment="1">
      <alignment horizontal="centerContinuous" vertical="center"/>
    </xf>
    <xf numFmtId="0" fontId="13" fillId="2" borderId="0" xfId="0" applyFont="1" applyFill="1" applyAlignment="1">
      <alignment horizontal="centerContinuous" vertical="center"/>
    </xf>
    <xf numFmtId="1" fontId="13" fillId="2" borderId="0" xfId="0" applyNumberFormat="1" applyFont="1" applyFill="1" applyAlignment="1">
      <alignment horizontal="centerContinuous" vertical="center"/>
    </xf>
    <xf numFmtId="9" fontId="13" fillId="2" borderId="0" xfId="1" applyFont="1" applyFill="1" applyAlignment="1">
      <alignment horizontal="centerContinuous" vertical="center"/>
    </xf>
    <xf numFmtId="0" fontId="14" fillId="0" borderId="9" xfId="7" applyFont="1" applyFill="1" applyBorder="1" applyAlignment="1">
      <alignment horizontal="left" vertical="center" wrapText="1"/>
    </xf>
    <xf numFmtId="164" fontId="15" fillId="0" borderId="9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9" fontId="15" fillId="0" borderId="9" xfId="1" applyFont="1" applyFill="1" applyBorder="1" applyAlignment="1">
      <alignment horizontal="center" vertical="center"/>
    </xf>
    <xf numFmtId="0" fontId="14" fillId="0" borderId="9" xfId="7" applyFont="1" applyBorder="1" applyAlignment="1">
      <alignment horizontal="left" vertical="center" wrapText="1"/>
    </xf>
    <xf numFmtId="9" fontId="15" fillId="0" borderId="9" xfId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left" vertical="center"/>
    </xf>
    <xf numFmtId="0" fontId="12" fillId="2" borderId="9" xfId="7" applyFont="1" applyFill="1" applyBorder="1" applyAlignment="1">
      <alignment horizontal="centerContinuous" vertical="center" wrapText="1"/>
    </xf>
    <xf numFmtId="164" fontId="13" fillId="2" borderId="9" xfId="0" applyNumberFormat="1" applyFont="1" applyFill="1" applyBorder="1" applyAlignment="1">
      <alignment horizontal="centerContinuous" vertical="center"/>
    </xf>
    <xf numFmtId="0" fontId="13" fillId="2" borderId="9" xfId="0" applyFont="1" applyFill="1" applyBorder="1" applyAlignment="1">
      <alignment horizontal="centerContinuous" vertical="center"/>
    </xf>
    <xf numFmtId="1" fontId="13" fillId="2" borderId="9" xfId="0" applyNumberFormat="1" applyFont="1" applyFill="1" applyBorder="1" applyAlignment="1">
      <alignment horizontal="centerContinuous" vertical="center"/>
    </xf>
    <xf numFmtId="9" fontId="13" fillId="2" borderId="9" xfId="1" applyFont="1" applyFill="1" applyBorder="1" applyAlignment="1">
      <alignment horizontal="centerContinuous" vertical="center"/>
    </xf>
    <xf numFmtId="0" fontId="16" fillId="0" borderId="0" xfId="0" applyFont="1" applyAlignment="1">
      <alignment horizontal="center" vertical="center"/>
    </xf>
    <xf numFmtId="1" fontId="15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9" xfId="7" applyFont="1" applyBorder="1" applyAlignment="1">
      <alignment horizontal="right" vertical="center" wrapText="1"/>
    </xf>
    <xf numFmtId="0" fontId="15" fillId="0" borderId="9" xfId="1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166" fontId="15" fillId="0" borderId="9" xfId="0" applyNumberFormat="1" applyFont="1" applyBorder="1" applyAlignment="1">
      <alignment horizontal="center" vertical="center"/>
    </xf>
    <xf numFmtId="0" fontId="12" fillId="2" borderId="10" xfId="7" applyFont="1" applyFill="1" applyBorder="1" applyAlignment="1">
      <alignment horizontal="center" vertical="center" wrapText="1"/>
    </xf>
    <xf numFmtId="0" fontId="11" fillId="0" borderId="0" xfId="7">
      <alignment horizontal="left" wrapText="1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0" borderId="5" xfId="3" applyBorder="1" applyAlignment="1">
      <alignment horizontal="centerContinuous"/>
    </xf>
    <xf numFmtId="0" fontId="18" fillId="0" borderId="0" xfId="8" applyFont="1" applyBorder="1" applyAlignment="1">
      <alignment vertical="center"/>
    </xf>
    <xf numFmtId="16" fontId="19" fillId="0" borderId="0" xfId="6" applyNumberFormat="1" applyFont="1" applyBorder="1" applyAlignment="1">
      <alignment vertical="center"/>
    </xf>
    <xf numFmtId="0" fontId="19" fillId="0" borderId="0" xfId="6" applyFont="1" applyBorder="1" applyAlignment="1">
      <alignment vertical="center"/>
    </xf>
    <xf numFmtId="1" fontId="19" fillId="0" borderId="0" xfId="6" applyNumberFormat="1" applyFont="1" applyBorder="1" applyAlignment="1">
      <alignment vertical="center"/>
    </xf>
    <xf numFmtId="9" fontId="19" fillId="0" borderId="0" xfId="1" applyFont="1" applyBorder="1" applyAlignment="1">
      <alignment vertical="center"/>
    </xf>
    <xf numFmtId="0" fontId="20" fillId="2" borderId="9" xfId="7" applyFont="1" applyFill="1" applyBorder="1" applyAlignment="1">
      <alignment horizontal="centerContinuous" vertical="center" wrapText="1"/>
    </xf>
    <xf numFmtId="0" fontId="21" fillId="2" borderId="9" xfId="0" applyFont="1" applyFill="1" applyBorder="1" applyAlignment="1">
      <alignment horizontal="centerContinuous" vertical="center"/>
    </xf>
    <xf numFmtId="1" fontId="21" fillId="2" borderId="9" xfId="0" applyNumberFormat="1" applyFont="1" applyFill="1" applyBorder="1" applyAlignment="1">
      <alignment horizontal="centerContinuous" vertical="center"/>
    </xf>
    <xf numFmtId="9" fontId="21" fillId="2" borderId="9" xfId="1" applyFont="1" applyFill="1" applyBorder="1" applyAlignment="1">
      <alignment horizontal="centerContinuous" vertical="center"/>
    </xf>
    <xf numFmtId="0" fontId="22" fillId="0" borderId="0" xfId="0" applyFont="1" applyAlignment="1">
      <alignment horizontal="center" vertical="center"/>
    </xf>
    <xf numFmtId="0" fontId="15" fillId="0" borderId="9" xfId="7" applyFont="1" applyBorder="1" applyAlignment="1">
      <alignment horizontal="left" vertical="center" wrapText="1"/>
    </xf>
    <xf numFmtId="0" fontId="20" fillId="2" borderId="0" xfId="7" applyFont="1" applyFill="1" applyAlignment="1">
      <alignment horizontal="centerContinuous" vertical="center" wrapText="1"/>
    </xf>
    <xf numFmtId="0" fontId="21" fillId="2" borderId="0" xfId="0" applyFont="1" applyFill="1" applyAlignment="1">
      <alignment horizontal="centerContinuous" vertical="center"/>
    </xf>
    <xf numFmtId="1" fontId="21" fillId="2" borderId="0" xfId="0" applyNumberFormat="1" applyFont="1" applyFill="1" applyAlignment="1">
      <alignment horizontal="centerContinuous" vertical="center"/>
    </xf>
    <xf numFmtId="9" fontId="21" fillId="2" borderId="0" xfId="1" applyFont="1" applyFill="1" applyAlignment="1">
      <alignment horizontal="centerContinuous" vertical="center"/>
    </xf>
  </cellXfs>
  <cellStyles count="9">
    <cellStyle name="Activity" xfId="7" xr:uid="{E08172A1-BC2B-4459-AE80-8AFA72797A70}"/>
    <cellStyle name="Explanatory Text" xfId="6" builtinId="53"/>
    <cellStyle name="Heading 1" xfId="3" builtinId="16"/>
    <cellStyle name="Heading 2" xfId="4" builtinId="17"/>
    <cellStyle name="Heading 3" xfId="5" builtinId="18"/>
    <cellStyle name="Label" xfId="8" xr:uid="{BF9F8783-D8EE-4C71-B785-0DFE00AF1A85}"/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ntcon-my.sharepoint.com/personal/vishal_singh4_lntecc_com/Documents/Documents/OPD/OPD%20Schedule%20for%20Client%20(110926).xlsx" TargetMode="External"/><Relationship Id="rId1" Type="http://schemas.openxmlformats.org/officeDocument/2006/relationships/externalLinkPath" Target="OPD/OPD%20Schedule%20for%20Client%20(110926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ntcon-my.sharepoint.com/personal/vishal_singh4_lntecc_com/Documents/Documents/OPD/Hospital%20Schedule%20for%20Client%20(110926).xlsx" TargetMode="External"/><Relationship Id="rId1" Type="http://schemas.openxmlformats.org/officeDocument/2006/relationships/externalLinkPath" Target="OPD/Hospital%20Schedule%20for%20Client%20(110926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gion\OneDrive\Desktop\AIIMS%20REWARI\Book1.xlsx.xlsx" TargetMode="External"/><Relationship Id="rId1" Type="http://schemas.openxmlformats.org/officeDocument/2006/relationships/externalLinkPath" Target="Book1.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R"/>
      <sheetName val="Sheet1"/>
      <sheetName val="OPD"/>
    </sheetNames>
    <sheetDataSet>
      <sheetData sheetId="0" refreshError="1"/>
      <sheetData sheetId="1" refreshError="1"/>
      <sheetData sheetId="2" refreshError="1">
        <row r="1">
          <cell r="B1" t="str">
            <v>OPD Balance Activities Schedule (11-Sep-2026)</v>
          </cell>
        </row>
        <row r="54">
          <cell r="B54" t="str">
            <v>Electrical</v>
          </cell>
        </row>
        <row r="55">
          <cell r="B55" t="str">
            <v>Wiring</v>
          </cell>
          <cell r="C55" t="str">
            <v>WIP</v>
          </cell>
          <cell r="D55">
            <v>46325</v>
          </cell>
        </row>
        <row r="56">
          <cell r="B56" t="str">
            <v>Cable Laying &amp; Panel Installation</v>
          </cell>
          <cell r="C56" t="str">
            <v>WIP</v>
          </cell>
          <cell r="D56">
            <v>46325</v>
          </cell>
        </row>
        <row r="57">
          <cell r="B57" t="str">
            <v>UPS Installation</v>
          </cell>
          <cell r="C57">
            <v>46291</v>
          </cell>
          <cell r="D57">
            <v>46305</v>
          </cell>
        </row>
        <row r="58">
          <cell r="B58" t="str">
            <v>DB Dresssing</v>
          </cell>
          <cell r="C58" t="str">
            <v>WIP</v>
          </cell>
          <cell r="D58">
            <v>46336</v>
          </cell>
        </row>
        <row r="59">
          <cell r="B59" t="str">
            <v>PHE</v>
          </cell>
        </row>
        <row r="60">
          <cell r="B60" t="str">
            <v>Cister&amp; Sensor Fixing</v>
          </cell>
          <cell r="C60" t="str">
            <v>WIP</v>
          </cell>
          <cell r="D60">
            <v>46288</v>
          </cell>
        </row>
        <row r="61">
          <cell r="B61" t="str">
            <v>HVAC</v>
          </cell>
        </row>
        <row r="62">
          <cell r="B62" t="str">
            <v>Duct testinfg &amp; dropper for diffusere</v>
          </cell>
          <cell r="C62" t="str">
            <v>WIP</v>
          </cell>
          <cell r="D62">
            <v>46366</v>
          </cell>
        </row>
        <row r="63">
          <cell r="B63" t="str">
            <v>Pipe Testing</v>
          </cell>
          <cell r="C63" t="str">
            <v>WIP</v>
          </cell>
          <cell r="D63">
            <v>46310</v>
          </cell>
        </row>
        <row r="64">
          <cell r="B64" t="str">
            <v>AHU Connection</v>
          </cell>
          <cell r="C64" t="str">
            <v>WIP</v>
          </cell>
          <cell r="D64">
            <v>46311</v>
          </cell>
        </row>
        <row r="65">
          <cell r="B65" t="str">
            <v>Firefighting</v>
          </cell>
        </row>
        <row r="66">
          <cell r="B66" t="str">
            <v>Sprinkler Flexible connection &amp; testing</v>
          </cell>
          <cell r="C66" t="str">
            <v>WIP</v>
          </cell>
          <cell r="D66">
            <v>46340</v>
          </cell>
        </row>
        <row r="67">
          <cell r="B67" t="str">
            <v>Wet Riser &amp; FHC installation</v>
          </cell>
          <cell r="C67" t="str">
            <v>WIP</v>
          </cell>
          <cell r="D67">
            <v>46319</v>
          </cell>
        </row>
        <row r="68">
          <cell r="B68" t="str">
            <v>ELV</v>
          </cell>
        </row>
        <row r="69">
          <cell r="B69" t="str">
            <v>CAT 6 cabling</v>
          </cell>
          <cell r="C69" t="str">
            <v>WIP</v>
          </cell>
          <cell r="D69">
            <v>46341</v>
          </cell>
        </row>
        <row r="70">
          <cell r="B70" t="str">
            <v>PA &amp; FAS cabling</v>
          </cell>
          <cell r="C70" t="str">
            <v>WIP</v>
          </cell>
          <cell r="D70">
            <v>46341</v>
          </cell>
        </row>
        <row r="71">
          <cell r="B71" t="str">
            <v>Fire Panel Installation</v>
          </cell>
          <cell r="C71">
            <v>46291</v>
          </cell>
          <cell r="D71">
            <v>46295</v>
          </cell>
        </row>
        <row r="72">
          <cell r="B72" t="str">
            <v>Network Switch Installation &amp; connection</v>
          </cell>
          <cell r="C72" t="str">
            <v>WIP</v>
          </cell>
          <cell r="D72">
            <v>46346</v>
          </cell>
        </row>
        <row r="73">
          <cell r="B73" t="str">
            <v>MGPS</v>
          </cell>
        </row>
        <row r="74">
          <cell r="B74" t="str">
            <v>Copper Pipe testing</v>
          </cell>
          <cell r="C74">
            <v>46310</v>
          </cell>
          <cell r="D74">
            <v>46371</v>
          </cell>
        </row>
        <row r="75">
          <cell r="B75" t="str">
            <v>PTTS</v>
          </cell>
        </row>
        <row r="76">
          <cell r="B76" t="str">
            <v>Pipe accessories fixing &amp; testing</v>
          </cell>
          <cell r="C76" t="str">
            <v>WIP</v>
          </cell>
          <cell r="D76">
            <v>46386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R"/>
      <sheetName val="OPD"/>
      <sheetName val="IPD"/>
    </sheetNames>
    <sheetDataSet>
      <sheetData sheetId="0" refreshError="1">
        <row r="7">
          <cell r="B7" t="str">
            <v>Brickwork</v>
          </cell>
          <cell r="C7" t="str">
            <v>WIP</v>
          </cell>
          <cell r="D7">
            <v>46320</v>
          </cell>
        </row>
        <row r="8">
          <cell r="B8" t="str">
            <v>Plaster</v>
          </cell>
          <cell r="C8" t="str">
            <v>WIP</v>
          </cell>
          <cell r="D8">
            <v>46336</v>
          </cell>
        </row>
        <row r="9">
          <cell r="B9" t="str">
            <v>Ground Floor</v>
          </cell>
          <cell r="C9" t="str">
            <v>WIP</v>
          </cell>
          <cell r="D9">
            <v>46325</v>
          </cell>
        </row>
        <row r="10">
          <cell r="B10" t="str">
            <v>1st Floor</v>
          </cell>
          <cell r="C10" t="str">
            <v>WIP</v>
          </cell>
          <cell r="D10">
            <v>46315</v>
          </cell>
        </row>
        <row r="11">
          <cell r="B11" t="str">
            <v>2nd Floor</v>
          </cell>
          <cell r="C11" t="str">
            <v>WIP</v>
          </cell>
          <cell r="D11">
            <v>46310</v>
          </cell>
        </row>
        <row r="12">
          <cell r="B12" t="str">
            <v>3rd Floor</v>
          </cell>
          <cell r="C12" t="str">
            <v>WIP</v>
          </cell>
          <cell r="D12">
            <v>46310</v>
          </cell>
        </row>
        <row r="13">
          <cell r="B13" t="str">
            <v>Above terrace</v>
          </cell>
          <cell r="C13" t="str">
            <v>WIP</v>
          </cell>
          <cell r="D13">
            <v>46336</v>
          </cell>
        </row>
        <row r="14">
          <cell r="B14" t="str">
            <v>Aluminum Joineries</v>
          </cell>
          <cell r="C14" t="str">
            <v>WIP</v>
          </cell>
          <cell r="D14">
            <v>46371</v>
          </cell>
        </row>
        <row r="15">
          <cell r="B15" t="str">
            <v>Fire door frame &amp; shutter</v>
          </cell>
          <cell r="C15" t="str">
            <v>WIP</v>
          </cell>
          <cell r="D15">
            <v>46371</v>
          </cell>
        </row>
        <row r="16">
          <cell r="B16" t="str">
            <v>Flooring &amp; dado</v>
          </cell>
          <cell r="C16" t="str">
            <v>WIP</v>
          </cell>
          <cell r="D16">
            <v>46356</v>
          </cell>
        </row>
        <row r="17">
          <cell r="B17" t="str">
            <v>False Ceiling</v>
          </cell>
          <cell r="C17">
            <v>46310</v>
          </cell>
          <cell r="D17">
            <v>46370</v>
          </cell>
        </row>
        <row r="18">
          <cell r="B18" t="str">
            <v>Ground Floor</v>
          </cell>
          <cell r="C18">
            <v>46310</v>
          </cell>
          <cell r="D18">
            <v>46325</v>
          </cell>
        </row>
        <row r="19">
          <cell r="B19" t="str">
            <v>1st Floor</v>
          </cell>
          <cell r="C19">
            <v>46325</v>
          </cell>
          <cell r="D19">
            <v>46340</v>
          </cell>
        </row>
        <row r="20">
          <cell r="B20" t="str">
            <v>2nd Floor</v>
          </cell>
          <cell r="C20">
            <v>46340</v>
          </cell>
          <cell r="D20">
            <v>46355</v>
          </cell>
        </row>
        <row r="21">
          <cell r="B21" t="str">
            <v>3rd Floor</v>
          </cell>
          <cell r="C21">
            <v>46355</v>
          </cell>
          <cell r="D21">
            <v>46370</v>
          </cell>
        </row>
        <row r="22">
          <cell r="B22" t="str">
            <v>Lift facia granite</v>
          </cell>
          <cell r="C22">
            <v>46315</v>
          </cell>
          <cell r="D22">
            <v>46350</v>
          </cell>
        </row>
        <row r="23">
          <cell r="B23" t="str">
            <v xml:space="preserve">Courtyard Plaster </v>
          </cell>
          <cell r="C23">
            <v>46293</v>
          </cell>
          <cell r="D23">
            <v>46325</v>
          </cell>
        </row>
        <row r="24">
          <cell r="B24" t="str">
            <v>SS Handrail</v>
          </cell>
          <cell r="C24">
            <v>46336</v>
          </cell>
          <cell r="D24">
            <v>46372</v>
          </cell>
        </row>
        <row r="25">
          <cell r="B25" t="str">
            <v>Over Terrace</v>
          </cell>
        </row>
        <row r="26">
          <cell r="B26" t="str">
            <v>OHT&amp;Mummty</v>
          </cell>
          <cell r="C26">
            <v>46290</v>
          </cell>
          <cell r="D26">
            <v>46310</v>
          </cell>
        </row>
        <row r="27">
          <cell r="B27" t="str">
            <v>OHT Waterproofing &amp; Tiling</v>
          </cell>
          <cell r="C27">
            <v>46315</v>
          </cell>
          <cell r="D27">
            <v>46327</v>
          </cell>
        </row>
        <row r="28">
          <cell r="B28" t="str">
            <v>LMR</v>
          </cell>
          <cell r="C28" t="str">
            <v>WIP</v>
          </cell>
          <cell r="D28">
            <v>46311</v>
          </cell>
        </row>
        <row r="29">
          <cell r="B29" t="str">
            <v>Terrace Waterproofing&amp;HRT Tiles</v>
          </cell>
          <cell r="C29" t="str">
            <v>WIP</v>
          </cell>
          <cell r="D29">
            <v>46320</v>
          </cell>
        </row>
        <row r="30">
          <cell r="B30" t="str">
            <v>Pedestals</v>
          </cell>
          <cell r="C30" t="str">
            <v>WIP</v>
          </cell>
          <cell r="D30">
            <v>46325</v>
          </cell>
        </row>
        <row r="31">
          <cell r="B31" t="str">
            <v>Polycarbonate Sheet</v>
          </cell>
          <cell r="C31" t="str">
            <v>WIP</v>
          </cell>
          <cell r="D31">
            <v>46320</v>
          </cell>
        </row>
        <row r="32">
          <cell r="B32" t="str">
            <v>External</v>
          </cell>
        </row>
        <row r="33">
          <cell r="B33" t="str">
            <v>Shaft brickwork &amp; plaster</v>
          </cell>
        </row>
        <row r="34">
          <cell r="B34" t="str">
            <v>Elevation A</v>
          </cell>
          <cell r="C34" t="str">
            <v>WIP</v>
          </cell>
          <cell r="D34">
            <v>46320</v>
          </cell>
        </row>
        <row r="35">
          <cell r="B35" t="str">
            <v>Elevation B</v>
          </cell>
          <cell r="C35">
            <v>46295</v>
          </cell>
          <cell r="D35">
            <v>46326</v>
          </cell>
        </row>
        <row r="36">
          <cell r="B36" t="str">
            <v>Elevation C</v>
          </cell>
          <cell r="C36">
            <v>46283</v>
          </cell>
          <cell r="D36">
            <v>46295</v>
          </cell>
        </row>
        <row r="37">
          <cell r="B37" t="str">
            <v>Elevation D</v>
          </cell>
          <cell r="C37" t="str">
            <v>WIP</v>
          </cell>
          <cell r="D37">
            <v>46305</v>
          </cell>
        </row>
        <row r="38">
          <cell r="B38" t="str">
            <v>External Stone Cladding</v>
          </cell>
        </row>
        <row r="39">
          <cell r="B39" t="str">
            <v>Elevation A</v>
          </cell>
        </row>
        <row r="40">
          <cell r="B40" t="str">
            <v>Elevation B</v>
          </cell>
        </row>
        <row r="41">
          <cell r="B41" t="str">
            <v>Elevation C</v>
          </cell>
        </row>
        <row r="42">
          <cell r="B42" t="str">
            <v>Elevation D</v>
          </cell>
        </row>
        <row r="43">
          <cell r="B43" t="str">
            <v>Structural Glazing</v>
          </cell>
        </row>
        <row r="44">
          <cell r="B44" t="str">
            <v>Elevation A</v>
          </cell>
        </row>
        <row r="45">
          <cell r="B45" t="str">
            <v>Elevation B</v>
          </cell>
        </row>
        <row r="46">
          <cell r="B46" t="str">
            <v>Elevation C</v>
          </cell>
        </row>
        <row r="47">
          <cell r="B47" t="str">
            <v>Elevation D</v>
          </cell>
        </row>
        <row r="48">
          <cell r="B48" t="str">
            <v>MEP</v>
          </cell>
        </row>
        <row r="49">
          <cell r="B49" t="str">
            <v>Frist Fix</v>
          </cell>
        </row>
        <row r="50">
          <cell r="B50" t="str">
            <v>Electrical</v>
          </cell>
        </row>
        <row r="51">
          <cell r="B51" t="str">
            <v>Wall Conduit &amp; GI Box Fixing</v>
          </cell>
          <cell r="C51" t="str">
            <v xml:space="preserve">Completed </v>
          </cell>
        </row>
        <row r="52">
          <cell r="B52" t="str">
            <v>Cable Tray Installation</v>
          </cell>
          <cell r="C52" t="str">
            <v xml:space="preserve">Completed </v>
          </cell>
        </row>
        <row r="53">
          <cell r="B53" t="str">
            <v>DB Installation</v>
          </cell>
          <cell r="C53" t="str">
            <v xml:space="preserve">Completed </v>
          </cell>
        </row>
        <row r="54">
          <cell r="B54" t="str">
            <v>PHE</v>
          </cell>
        </row>
        <row r="55">
          <cell r="B55" t="str">
            <v>CI Pipiing</v>
          </cell>
          <cell r="C55" t="str">
            <v>WIP</v>
          </cell>
          <cell r="D55">
            <v>46366</v>
          </cell>
        </row>
        <row r="56">
          <cell r="B56" t="str">
            <v>CPVC Piping</v>
          </cell>
          <cell r="C56" t="str">
            <v>WIP</v>
          </cell>
          <cell r="D56">
            <v>46366</v>
          </cell>
        </row>
        <row r="57">
          <cell r="B57" t="str">
            <v>GI Piping</v>
          </cell>
          <cell r="C57" t="str">
            <v>WIP</v>
          </cell>
          <cell r="D57">
            <v>46366</v>
          </cell>
        </row>
        <row r="58">
          <cell r="B58" t="str">
            <v>HVAC</v>
          </cell>
        </row>
        <row r="59">
          <cell r="B59" t="str">
            <v>Ducting &amp; Insulation</v>
          </cell>
          <cell r="C59" t="str">
            <v>WIP</v>
          </cell>
          <cell r="D59">
            <v>46326</v>
          </cell>
        </row>
        <row r="60">
          <cell r="B60" t="str">
            <v>Piping installation</v>
          </cell>
          <cell r="C60" t="str">
            <v>WIP</v>
          </cell>
          <cell r="D60">
            <v>46326</v>
          </cell>
        </row>
        <row r="61">
          <cell r="B61" t="str">
            <v>AHU Installation</v>
          </cell>
          <cell r="C61" t="str">
            <v>WIP</v>
          </cell>
          <cell r="D61">
            <v>46326</v>
          </cell>
        </row>
        <row r="62">
          <cell r="B62" t="str">
            <v>Firefighting</v>
          </cell>
        </row>
        <row r="63">
          <cell r="B63" t="str">
            <v>Piping installation</v>
          </cell>
          <cell r="C63" t="str">
            <v>WIP</v>
          </cell>
          <cell r="D63">
            <v>46358</v>
          </cell>
        </row>
        <row r="64">
          <cell r="B64" t="str">
            <v>ELV</v>
          </cell>
        </row>
        <row r="65">
          <cell r="B65" t="str">
            <v>PVC conduiting &amp; GI box fixing</v>
          </cell>
          <cell r="C65" t="str">
            <v xml:space="preserve">Completed </v>
          </cell>
        </row>
        <row r="66">
          <cell r="B66" t="str">
            <v>Raceway Installation</v>
          </cell>
          <cell r="C66" t="str">
            <v xml:space="preserve">Completed </v>
          </cell>
        </row>
        <row r="67">
          <cell r="B67" t="str">
            <v>MGPS</v>
          </cell>
        </row>
        <row r="68">
          <cell r="B68" t="str">
            <v>Copper Pipning</v>
          </cell>
        </row>
        <row r="69">
          <cell r="B69" t="str">
            <v>PTTS</v>
          </cell>
          <cell r="C69" t="str">
            <v>WIP</v>
          </cell>
          <cell r="D69">
            <v>46366</v>
          </cell>
        </row>
        <row r="70">
          <cell r="B70" t="str">
            <v>Pipe Installation</v>
          </cell>
          <cell r="C70" t="str">
            <v>WIP</v>
          </cell>
          <cell r="D70">
            <v>46366</v>
          </cell>
        </row>
        <row r="71">
          <cell r="B71" t="str">
            <v>Second Fix</v>
          </cell>
        </row>
        <row r="72">
          <cell r="B72" t="str">
            <v>Electrical</v>
          </cell>
        </row>
        <row r="73">
          <cell r="B73" t="str">
            <v>Wiring</v>
          </cell>
          <cell r="C73" t="str">
            <v>WIP</v>
          </cell>
          <cell r="D73">
            <v>46386</v>
          </cell>
        </row>
        <row r="74">
          <cell r="B74" t="str">
            <v>Cable Laying &amp; Panel Installation</v>
          </cell>
          <cell r="C74" t="str">
            <v>WIP</v>
          </cell>
          <cell r="D74">
            <v>46386</v>
          </cell>
        </row>
        <row r="75">
          <cell r="B75" t="str">
            <v>UPS Installation</v>
          </cell>
          <cell r="C75" t="str">
            <v>WIP</v>
          </cell>
          <cell r="D75">
            <v>46386</v>
          </cell>
        </row>
        <row r="76">
          <cell r="B76" t="str">
            <v>DB Dresssing</v>
          </cell>
          <cell r="C76" t="str">
            <v>WIP</v>
          </cell>
          <cell r="D76">
            <v>46386</v>
          </cell>
        </row>
        <row r="77">
          <cell r="B77" t="str">
            <v>PHE</v>
          </cell>
        </row>
        <row r="78">
          <cell r="B78" t="str">
            <v>Cister&amp; Sensor Fixing</v>
          </cell>
          <cell r="C78" t="str">
            <v>WIP</v>
          </cell>
          <cell r="D78">
            <v>46305</v>
          </cell>
        </row>
        <row r="79">
          <cell r="B79" t="str">
            <v>HVAC</v>
          </cell>
        </row>
        <row r="80">
          <cell r="B80" t="str">
            <v>Duct testinfg &amp; dropper for diffusere</v>
          </cell>
          <cell r="C80" t="str">
            <v>WIP</v>
          </cell>
          <cell r="D80">
            <v>46386</v>
          </cell>
        </row>
        <row r="81">
          <cell r="B81" t="str">
            <v>Pipe Testing</v>
          </cell>
          <cell r="C81" t="str">
            <v>WIP</v>
          </cell>
          <cell r="D81">
            <v>46386</v>
          </cell>
        </row>
        <row r="82">
          <cell r="B82" t="str">
            <v>AHU Connection</v>
          </cell>
          <cell r="C82" t="str">
            <v>WIP</v>
          </cell>
          <cell r="D82">
            <v>46386</v>
          </cell>
        </row>
        <row r="83">
          <cell r="B83" t="str">
            <v>Firefighting</v>
          </cell>
        </row>
        <row r="84">
          <cell r="B84" t="str">
            <v>Sprinkler Flexible connection &amp; testing</v>
          </cell>
          <cell r="C84" t="str">
            <v>WIP</v>
          </cell>
          <cell r="D84">
            <v>46305</v>
          </cell>
        </row>
        <row r="85">
          <cell r="B85" t="str">
            <v>Wet Riser &amp; FHC installation</v>
          </cell>
          <cell r="C85" t="str">
            <v>WIP</v>
          </cell>
          <cell r="D85">
            <v>46305</v>
          </cell>
        </row>
        <row r="86">
          <cell r="B86" t="str">
            <v>ELV</v>
          </cell>
        </row>
        <row r="87">
          <cell r="B87" t="str">
            <v>CAT 6 cabling</v>
          </cell>
          <cell r="C87" t="str">
            <v>WIP</v>
          </cell>
          <cell r="D87">
            <v>46386</v>
          </cell>
        </row>
        <row r="88">
          <cell r="B88" t="str">
            <v>PA &amp; FAS cabling</v>
          </cell>
          <cell r="C88" t="str">
            <v>WIP</v>
          </cell>
          <cell r="D88">
            <v>46386</v>
          </cell>
        </row>
        <row r="89">
          <cell r="B89" t="str">
            <v>Fire Panel Installation</v>
          </cell>
          <cell r="C89" t="str">
            <v>WIP</v>
          </cell>
          <cell r="D89">
            <v>46386</v>
          </cell>
        </row>
        <row r="90">
          <cell r="B90" t="str">
            <v>Network Switch Installation &amp; connection</v>
          </cell>
          <cell r="C90" t="str">
            <v>WIP</v>
          </cell>
          <cell r="D90">
            <v>46386</v>
          </cell>
        </row>
        <row r="91">
          <cell r="B91" t="str">
            <v>MGPS</v>
          </cell>
        </row>
        <row r="92">
          <cell r="B92" t="str">
            <v>Copper Pipe testing</v>
          </cell>
          <cell r="C92" t="str">
            <v>WIP</v>
          </cell>
          <cell r="D92">
            <v>46386</v>
          </cell>
        </row>
        <row r="93">
          <cell r="B93" t="str">
            <v>PTTS</v>
          </cell>
        </row>
        <row r="94">
          <cell r="B94" t="str">
            <v>Pipe accessories fixing &amp; testing</v>
          </cell>
          <cell r="C94" t="str">
            <v>WIP</v>
          </cell>
          <cell r="D94">
            <v>46386</v>
          </cell>
        </row>
        <row r="95">
          <cell r="B95" t="str">
            <v>Final Fixture</v>
          </cell>
        </row>
        <row r="96">
          <cell r="B96" t="str">
            <v>Electrical</v>
          </cell>
        </row>
        <row r="97">
          <cell r="B97" t="str">
            <v>Switch Socket &amp; light fixture  Installation</v>
          </cell>
          <cell r="C97" t="str">
            <v>WIP</v>
          </cell>
          <cell r="D97">
            <v>46386</v>
          </cell>
        </row>
        <row r="98">
          <cell r="B98" t="str">
            <v>Cable termination &amp; panel testing</v>
          </cell>
          <cell r="C98" t="str">
            <v>WIP</v>
          </cell>
          <cell r="D98">
            <v>46386</v>
          </cell>
        </row>
        <row r="99">
          <cell r="B99" t="str">
            <v>UPS testing &amp; commissioning</v>
          </cell>
          <cell r="C99" t="str">
            <v>WIP</v>
          </cell>
          <cell r="D99">
            <v>46386</v>
          </cell>
        </row>
        <row r="100">
          <cell r="B100" t="str">
            <v>DB testing</v>
          </cell>
          <cell r="C100" t="str">
            <v>WIP</v>
          </cell>
          <cell r="D100">
            <v>46386</v>
          </cell>
        </row>
        <row r="101">
          <cell r="B101" t="str">
            <v>PHE</v>
          </cell>
        </row>
        <row r="102">
          <cell r="B102" t="str">
            <v>Fixtures Installation</v>
          </cell>
          <cell r="C102" t="str">
            <v>WIP</v>
          </cell>
          <cell r="D102">
            <v>46386</v>
          </cell>
        </row>
        <row r="103">
          <cell r="B103" t="str">
            <v>HVAC</v>
          </cell>
        </row>
        <row r="104">
          <cell r="B104" t="str">
            <v>Diffuser Installation</v>
          </cell>
          <cell r="C104" t="str">
            <v>WIP</v>
          </cell>
          <cell r="D104">
            <v>46386</v>
          </cell>
        </row>
        <row r="105">
          <cell r="B105" t="str">
            <v>AHU Testing</v>
          </cell>
          <cell r="C105" t="str">
            <v>WIP</v>
          </cell>
          <cell r="D105">
            <v>46386</v>
          </cell>
        </row>
        <row r="106">
          <cell r="B106" t="str">
            <v>Firefighting</v>
          </cell>
        </row>
        <row r="107">
          <cell r="B107" t="str">
            <v>Sprinkler Fixing</v>
          </cell>
          <cell r="C107" t="str">
            <v>WIP</v>
          </cell>
          <cell r="D107">
            <v>46386</v>
          </cell>
        </row>
        <row r="108">
          <cell r="B108" t="str">
            <v>ELV</v>
          </cell>
        </row>
        <row r="109">
          <cell r="B109" t="str">
            <v xml:space="preserve"> Fire Alam  &amp; PA Device Fixing</v>
          </cell>
          <cell r="C109" t="str">
            <v>WIP</v>
          </cell>
          <cell r="D109">
            <v>46386</v>
          </cell>
        </row>
        <row r="110">
          <cell r="B110" t="str">
            <v xml:space="preserve"> Telephone &amp; Data Socket Fixing</v>
          </cell>
          <cell r="C110" t="str">
            <v>WIP</v>
          </cell>
          <cell r="D110">
            <v>46386</v>
          </cell>
        </row>
        <row r="111">
          <cell r="B111" t="str">
            <v>Fire Panel testing &amp; device addressing</v>
          </cell>
          <cell r="C111" t="str">
            <v>WIP</v>
          </cell>
          <cell r="D111">
            <v>46386</v>
          </cell>
        </row>
        <row r="112">
          <cell r="B112" t="str">
            <v>Network Switch testing</v>
          </cell>
          <cell r="C112" t="str">
            <v>WIP</v>
          </cell>
          <cell r="D112">
            <v>46386</v>
          </cell>
        </row>
        <row r="113">
          <cell r="B113" t="str">
            <v>QMS , HMIS , Biometric , etc.</v>
          </cell>
          <cell r="C113" t="str">
            <v>WIP</v>
          </cell>
          <cell r="D113">
            <v>46386</v>
          </cell>
        </row>
        <row r="114">
          <cell r="B114" t="str">
            <v>MGPS</v>
          </cell>
        </row>
        <row r="115">
          <cell r="B115" t="str">
            <v>Outlet Installation</v>
          </cell>
        </row>
        <row r="116">
          <cell r="B116" t="str">
            <v>PTTS</v>
          </cell>
        </row>
        <row r="117">
          <cell r="B117" t="str">
            <v>PTTS station installation</v>
          </cell>
          <cell r="C117" t="str">
            <v>WIP</v>
          </cell>
          <cell r="D117">
            <v>46386</v>
          </cell>
        </row>
        <row r="118">
          <cell r="B118" t="str">
            <v>Terrace</v>
          </cell>
        </row>
        <row r="119">
          <cell r="B119" t="str">
            <v xml:space="preserve"> PHE Piping installation</v>
          </cell>
          <cell r="C119" t="str">
            <v>WIP</v>
          </cell>
          <cell r="D119">
            <v>46386</v>
          </cell>
        </row>
        <row r="120">
          <cell r="B120" t="str">
            <v>AHU Installation</v>
          </cell>
          <cell r="C120" t="str">
            <v>WIP</v>
          </cell>
          <cell r="D120">
            <v>46386</v>
          </cell>
        </row>
        <row r="121">
          <cell r="B121" t="str">
            <v>Fan Installation</v>
          </cell>
          <cell r="C121" t="str">
            <v>WIP</v>
          </cell>
          <cell r="D121">
            <v>46386</v>
          </cell>
        </row>
        <row r="122">
          <cell r="B122" t="str">
            <v>Cable Tray, Raceway Installation &amp; cable laying</v>
          </cell>
          <cell r="C122" t="str">
            <v>WIP</v>
          </cell>
          <cell r="D122">
            <v>46386</v>
          </cell>
        </row>
        <row r="123">
          <cell r="B123" t="str">
            <v>Solar Panel Installation</v>
          </cell>
          <cell r="C123" t="str">
            <v>WIP</v>
          </cell>
          <cell r="D123">
            <v>46386</v>
          </cell>
        </row>
        <row r="124">
          <cell r="B124" t="str">
            <v>DDC Panel Installation</v>
          </cell>
          <cell r="C124" t="str">
            <v>WIP</v>
          </cell>
          <cell r="D124">
            <v>46386</v>
          </cell>
        </row>
        <row r="125">
          <cell r="B125" t="str">
            <v>Booster Panel Installation</v>
          </cell>
          <cell r="C125" t="str">
            <v>WIP</v>
          </cell>
          <cell r="D125">
            <v>46386</v>
          </cell>
        </row>
        <row r="126">
          <cell r="B126" t="str">
            <v>Shaft</v>
          </cell>
        </row>
        <row r="127">
          <cell r="B127" t="str">
            <v>PHE Piping</v>
          </cell>
          <cell r="C127" t="str">
            <v>WIP</v>
          </cell>
          <cell r="D127">
            <v>46386</v>
          </cell>
        </row>
        <row r="128">
          <cell r="B128" t="str">
            <v>HVAC Ducting</v>
          </cell>
          <cell r="C128" t="str">
            <v>WIP</v>
          </cell>
          <cell r="D128">
            <v>46386</v>
          </cell>
        </row>
        <row r="129">
          <cell r="B129" t="str">
            <v>Rising Main Installation</v>
          </cell>
          <cell r="C129" t="str">
            <v>WIP</v>
          </cell>
          <cell r="D129">
            <v>46386</v>
          </cell>
        </row>
        <row r="130">
          <cell r="B130" t="str">
            <v>Cable Tray &amp; Raceway installation</v>
          </cell>
          <cell r="C130" t="str">
            <v>WIP</v>
          </cell>
          <cell r="D130">
            <v>46386</v>
          </cell>
        </row>
        <row r="131">
          <cell r="B131" t="str">
            <v>Lift Installation</v>
          </cell>
          <cell r="C131" t="str">
            <v>WIP</v>
          </cell>
          <cell r="D131">
            <v>46386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D - Summary"/>
      <sheetName val="OPD  Backup Sheet"/>
      <sheetName val="EMR Backup Sheet"/>
      <sheetName val="Academic"/>
      <sheetName val="EMR - Activity wise"/>
      <sheetName val="Academic (2)"/>
      <sheetName val="Type 4"/>
      <sheetName val="Type 5"/>
      <sheetName val="Type 3"/>
      <sheetName val="UG Female"/>
      <sheetName val="UGF backup"/>
      <sheetName val="EMR "/>
      <sheetName val="UG Male"/>
      <sheetName val="UG MALE backup"/>
      <sheetName val="OPD  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 t="str">
            <v>Brickwork</v>
          </cell>
          <cell r="B7">
            <v>45938</v>
          </cell>
          <cell r="C7">
            <v>46320</v>
          </cell>
          <cell r="D7">
            <v>0.95</v>
          </cell>
          <cell r="E7">
            <v>0.96</v>
          </cell>
        </row>
        <row r="8">
          <cell r="A8" t="str">
            <v>Internal Plaster</v>
          </cell>
          <cell r="B8">
            <v>46032</v>
          </cell>
          <cell r="C8">
            <v>46336</v>
          </cell>
          <cell r="D8">
            <v>0.75</v>
          </cell>
          <cell r="E8">
            <v>0.78</v>
          </cell>
        </row>
        <row r="9">
          <cell r="A9" t="str">
            <v>Joineries</v>
          </cell>
          <cell r="B9">
            <v>46102</v>
          </cell>
          <cell r="C9">
            <v>46371</v>
          </cell>
          <cell r="D9">
            <v>0.55000000000000004</v>
          </cell>
          <cell r="E9">
            <v>0.56999999999999995</v>
          </cell>
        </row>
        <row r="10">
          <cell r="A10" t="str">
            <v>Fire door frame &amp; shutter</v>
          </cell>
          <cell r="B10">
            <v>46102</v>
          </cell>
          <cell r="C10">
            <v>46371</v>
          </cell>
          <cell r="D10">
            <v>0.45</v>
          </cell>
        </row>
        <row r="11">
          <cell r="A11" t="str">
            <v>Flooring &amp; Dado</v>
          </cell>
          <cell r="B11">
            <v>46073</v>
          </cell>
          <cell r="C11">
            <v>46356</v>
          </cell>
          <cell r="D11">
            <v>0.75</v>
          </cell>
          <cell r="E11">
            <v>0.79</v>
          </cell>
        </row>
        <row r="12">
          <cell r="A12" t="str">
            <v>False Ceiling</v>
          </cell>
          <cell r="B12">
            <v>46323</v>
          </cell>
          <cell r="C12">
            <v>46378</v>
          </cell>
          <cell r="D12">
            <v>0</v>
          </cell>
        </row>
        <row r="13">
          <cell r="A13" t="str">
            <v xml:space="preserve">Lift lobby </v>
          </cell>
          <cell r="B13">
            <v>46315</v>
          </cell>
          <cell r="C13">
            <v>46376</v>
          </cell>
          <cell r="D13">
            <v>0</v>
          </cell>
        </row>
        <row r="14">
          <cell r="A14" t="str">
            <v>Interior Works</v>
          </cell>
          <cell r="B14">
            <v>46344</v>
          </cell>
          <cell r="C14">
            <v>46384</v>
          </cell>
          <cell r="D14">
            <v>0</v>
          </cell>
        </row>
        <row r="15">
          <cell r="A15" t="str">
            <v>SS Handrail</v>
          </cell>
          <cell r="B15">
            <v>46336</v>
          </cell>
          <cell r="C15">
            <v>46376</v>
          </cell>
          <cell r="D15">
            <v>0</v>
          </cell>
        </row>
        <row r="16">
          <cell r="A16" t="str">
            <v>OT Rooms</v>
          </cell>
        </row>
        <row r="17">
          <cell r="A17" t="str">
            <v>Ground Floor ( 2 Nos.)</v>
          </cell>
        </row>
        <row r="18">
          <cell r="A18" t="str">
            <v>Civil Work</v>
          </cell>
          <cell r="B18">
            <v>46167</v>
          </cell>
          <cell r="C18">
            <v>46262</v>
          </cell>
          <cell r="D18">
            <v>1</v>
          </cell>
          <cell r="E18">
            <v>1</v>
          </cell>
        </row>
        <row r="19">
          <cell r="A19" t="str">
            <v>OT Works</v>
          </cell>
          <cell r="B19">
            <v>46262</v>
          </cell>
          <cell r="C19">
            <v>46344</v>
          </cell>
          <cell r="D19">
            <v>0.35</v>
          </cell>
          <cell r="E19">
            <v>0.38</v>
          </cell>
        </row>
        <row r="20">
          <cell r="A20" t="str">
            <v>2nd Floor (2 Nos.)</v>
          </cell>
        </row>
        <row r="21">
          <cell r="A21" t="str">
            <v>Civil Work</v>
          </cell>
          <cell r="B21">
            <v>46193</v>
          </cell>
          <cell r="C21">
            <v>46298</v>
          </cell>
          <cell r="D21">
            <v>0.95</v>
          </cell>
          <cell r="E21">
            <v>0.96</v>
          </cell>
        </row>
        <row r="22">
          <cell r="A22" t="str">
            <v>OT Works</v>
          </cell>
          <cell r="B22">
            <v>46298</v>
          </cell>
          <cell r="C22">
            <v>46361</v>
          </cell>
          <cell r="D22">
            <v>0</v>
          </cell>
          <cell r="E22">
            <v>0</v>
          </cell>
        </row>
        <row r="23">
          <cell r="A23" t="str">
            <v>3rd Floor (12 Nos.)</v>
          </cell>
        </row>
        <row r="24">
          <cell r="A24" t="str">
            <v>Civil Work</v>
          </cell>
          <cell r="B24">
            <v>46208</v>
          </cell>
          <cell r="C24">
            <v>46325</v>
          </cell>
          <cell r="D24">
            <v>0.25</v>
          </cell>
          <cell r="E24">
            <v>0.27</v>
          </cell>
        </row>
        <row r="25">
          <cell r="A25" t="str">
            <v>OT Works</v>
          </cell>
          <cell r="B25">
            <v>46325</v>
          </cell>
          <cell r="C25">
            <v>46387</v>
          </cell>
          <cell r="D25">
            <v>0</v>
          </cell>
          <cell r="E25">
            <v>0</v>
          </cell>
        </row>
        <row r="26">
          <cell r="A26" t="str">
            <v>CSSD Room</v>
          </cell>
        </row>
        <row r="27">
          <cell r="A27" t="str">
            <v>Civil Work</v>
          </cell>
          <cell r="B27">
            <v>46213</v>
          </cell>
          <cell r="C27">
            <v>46264</v>
          </cell>
          <cell r="D27">
            <v>1</v>
          </cell>
          <cell r="E27">
            <v>1</v>
          </cell>
        </row>
        <row r="28">
          <cell r="A28" t="str">
            <v>Service Oriented Work</v>
          </cell>
          <cell r="B28">
            <v>46266</v>
          </cell>
          <cell r="C28">
            <v>46351</v>
          </cell>
          <cell r="D28">
            <v>0.52</v>
          </cell>
          <cell r="E28">
            <v>0.54</v>
          </cell>
        </row>
        <row r="29">
          <cell r="A29" t="str">
            <v>Above Terrace</v>
          </cell>
        </row>
        <row r="30">
          <cell r="A30" t="str">
            <v>Staircase - Head Room</v>
          </cell>
          <cell r="B30">
            <v>46280</v>
          </cell>
          <cell r="C30">
            <v>46325</v>
          </cell>
          <cell r="D30">
            <v>0.25</v>
          </cell>
          <cell r="E30">
            <v>0.33</v>
          </cell>
        </row>
        <row r="31">
          <cell r="A31" t="str">
            <v>Over Head Tank</v>
          </cell>
          <cell r="B31">
            <v>46290</v>
          </cell>
          <cell r="C31">
            <v>46327</v>
          </cell>
          <cell r="D31">
            <v>0.35</v>
          </cell>
          <cell r="E31">
            <v>0.42</v>
          </cell>
        </row>
        <row r="32">
          <cell r="A32" t="str">
            <v>Terrace Waterproofing</v>
          </cell>
          <cell r="B32">
            <v>46272</v>
          </cell>
          <cell r="C32">
            <v>46338</v>
          </cell>
          <cell r="D32">
            <v>0.65</v>
          </cell>
          <cell r="E32">
            <v>0.68</v>
          </cell>
        </row>
        <row r="33">
          <cell r="A33" t="str">
            <v>Truss &amp; Polycarbonate Sheet</v>
          </cell>
          <cell r="B33">
            <v>46270</v>
          </cell>
          <cell r="C33">
            <v>46320</v>
          </cell>
          <cell r="D33">
            <v>0.6</v>
          </cell>
          <cell r="E33">
            <v>0.64</v>
          </cell>
        </row>
        <row r="34">
          <cell r="A34" t="str">
            <v xml:space="preserve">External  </v>
          </cell>
        </row>
        <row r="35">
          <cell r="A35" t="str">
            <v>Elevation A</v>
          </cell>
          <cell r="B35">
            <v>46239</v>
          </cell>
          <cell r="C35">
            <v>46355</v>
          </cell>
          <cell r="D35">
            <v>0.35</v>
          </cell>
          <cell r="E35">
            <v>0.38</v>
          </cell>
        </row>
        <row r="36">
          <cell r="A36" t="str">
            <v>Elevation B</v>
          </cell>
          <cell r="B36">
            <v>46252</v>
          </cell>
          <cell r="C36">
            <v>46368</v>
          </cell>
          <cell r="D36">
            <v>0.1</v>
          </cell>
          <cell r="E36">
            <v>0.14000000000000001</v>
          </cell>
        </row>
        <row r="37">
          <cell r="A37" t="str">
            <v>Elevation C</v>
          </cell>
          <cell r="B37">
            <v>46270</v>
          </cell>
          <cell r="C37">
            <v>46384</v>
          </cell>
          <cell r="D37">
            <v>0.05</v>
          </cell>
          <cell r="E37">
            <v>0.08</v>
          </cell>
        </row>
        <row r="38">
          <cell r="A38" t="str">
            <v>Elevation D</v>
          </cell>
          <cell r="B38">
            <v>46244</v>
          </cell>
          <cell r="C38">
            <v>46386</v>
          </cell>
          <cell r="D38">
            <v>0.15</v>
          </cell>
          <cell r="E38">
            <v>0.17</v>
          </cell>
        </row>
        <row r="39">
          <cell r="A39" t="str">
            <v>Fascia Beam</v>
          </cell>
          <cell r="B39">
            <v>46267</v>
          </cell>
          <cell r="C39">
            <v>46346</v>
          </cell>
          <cell r="D39">
            <v>0.19</v>
          </cell>
          <cell r="E39">
            <v>0.24</v>
          </cell>
        </row>
        <row r="40">
          <cell r="A40" t="str">
            <v>Mechanical Electrical Plumbing ( MEP)</v>
          </cell>
        </row>
        <row r="41">
          <cell r="A41" t="str">
            <v>First Fixtures</v>
          </cell>
        </row>
        <row r="42">
          <cell r="A42" t="str">
            <v>Cable Tray Installation</v>
          </cell>
          <cell r="B42">
            <v>46034</v>
          </cell>
          <cell r="C42">
            <v>46275</v>
          </cell>
          <cell r="D42">
            <v>1</v>
          </cell>
          <cell r="E42">
            <v>1</v>
          </cell>
        </row>
        <row r="43">
          <cell r="A43" t="str">
            <v>CI/GI Piping</v>
          </cell>
          <cell r="B43">
            <v>46049</v>
          </cell>
          <cell r="C43">
            <v>46366</v>
          </cell>
          <cell r="D43">
            <v>0.6</v>
          </cell>
          <cell r="E43">
            <v>0.64</v>
          </cell>
        </row>
        <row r="44">
          <cell r="A44" t="str">
            <v>Ducting &amp; Insulation</v>
          </cell>
          <cell r="B44">
            <v>46042</v>
          </cell>
          <cell r="C44">
            <v>46326</v>
          </cell>
          <cell r="D44">
            <v>0.97</v>
          </cell>
          <cell r="E44">
            <v>0.98</v>
          </cell>
        </row>
        <row r="45">
          <cell r="A45" t="str">
            <v>Fire Piping installation</v>
          </cell>
          <cell r="B45">
            <v>46032</v>
          </cell>
          <cell r="C45">
            <v>46358</v>
          </cell>
          <cell r="D45">
            <v>0.65</v>
          </cell>
          <cell r="E45">
            <v>0.69</v>
          </cell>
        </row>
        <row r="46">
          <cell r="A46" t="str">
            <v>MGPS Copper Piping</v>
          </cell>
          <cell r="B46">
            <v>46275</v>
          </cell>
          <cell r="C46">
            <v>46374</v>
          </cell>
          <cell r="D46">
            <v>0.2</v>
          </cell>
          <cell r="E46">
            <v>0.24</v>
          </cell>
        </row>
        <row r="47">
          <cell r="A47" t="str">
            <v>PTTS Pipe installation</v>
          </cell>
          <cell r="B47">
            <v>46305</v>
          </cell>
          <cell r="C47">
            <v>46361</v>
          </cell>
          <cell r="D47">
            <v>0</v>
          </cell>
        </row>
        <row r="48">
          <cell r="A48" t="str">
            <v>Under deck Insulation</v>
          </cell>
          <cell r="B48">
            <v>46327</v>
          </cell>
          <cell r="C48">
            <v>46361</v>
          </cell>
          <cell r="D48">
            <v>0</v>
          </cell>
        </row>
        <row r="49">
          <cell r="A49" t="str">
            <v>Second Fix</v>
          </cell>
        </row>
        <row r="50">
          <cell r="A50" t="str">
            <v>Wiring</v>
          </cell>
          <cell r="B50">
            <v>46268</v>
          </cell>
          <cell r="C50">
            <v>46353</v>
          </cell>
          <cell r="D50">
            <v>0.15</v>
          </cell>
          <cell r="E50">
            <v>0.18</v>
          </cell>
        </row>
        <row r="51">
          <cell r="A51" t="str">
            <v>Cable Laying &amp; Panel Instt.</v>
          </cell>
          <cell r="B51">
            <v>46270</v>
          </cell>
          <cell r="C51">
            <v>46347</v>
          </cell>
          <cell r="D51">
            <v>0.32</v>
          </cell>
          <cell r="E51">
            <v>0.37</v>
          </cell>
        </row>
        <row r="52">
          <cell r="A52" t="str">
            <v>UPS Installation</v>
          </cell>
          <cell r="B52">
            <v>46361</v>
          </cell>
          <cell r="C52">
            <v>46376</v>
          </cell>
          <cell r="D52">
            <v>0</v>
          </cell>
        </row>
        <row r="53">
          <cell r="A53" t="str">
            <v>Cistern &amp; Sensor Fixing</v>
          </cell>
          <cell r="B53">
            <v>46223</v>
          </cell>
          <cell r="C53">
            <v>46336</v>
          </cell>
          <cell r="D53">
            <v>0.39</v>
          </cell>
          <cell r="E53">
            <v>0.42</v>
          </cell>
        </row>
        <row r="54">
          <cell r="A54" t="str">
            <v>HVAC Pipe Testing</v>
          </cell>
          <cell r="B54">
            <v>46230</v>
          </cell>
          <cell r="C54">
            <v>46365</v>
          </cell>
          <cell r="D54">
            <v>0.45</v>
          </cell>
          <cell r="E54">
            <v>0.47</v>
          </cell>
        </row>
        <row r="55">
          <cell r="A55" t="str">
            <v>AHU Connection</v>
          </cell>
          <cell r="B55">
            <v>46230</v>
          </cell>
          <cell r="C55">
            <v>46365</v>
          </cell>
          <cell r="D55">
            <v>0.22</v>
          </cell>
          <cell r="E55">
            <v>0.25</v>
          </cell>
        </row>
        <row r="56">
          <cell r="A56" t="str">
            <v>CAT 6 cabling</v>
          </cell>
          <cell r="B56">
            <v>46189</v>
          </cell>
          <cell r="C56">
            <v>46364</v>
          </cell>
          <cell r="D56">
            <v>0.37</v>
          </cell>
          <cell r="E56">
            <v>0.42</v>
          </cell>
        </row>
        <row r="57">
          <cell r="A57" t="str">
            <v>PA &amp; FAS cabling</v>
          </cell>
          <cell r="B57">
            <v>46189</v>
          </cell>
          <cell r="C57">
            <v>46353</v>
          </cell>
          <cell r="D57">
            <v>0.6</v>
          </cell>
          <cell r="E57">
            <v>0.63</v>
          </cell>
        </row>
        <row r="58">
          <cell r="A58" t="str">
            <v>Fire Panel Installation</v>
          </cell>
          <cell r="B58">
            <v>46305</v>
          </cell>
          <cell r="C58">
            <v>46321</v>
          </cell>
          <cell r="D58">
            <v>0</v>
          </cell>
        </row>
        <row r="59">
          <cell r="A59" t="str">
            <v xml:space="preserve">Network Switch </v>
          </cell>
          <cell r="B59">
            <v>46310</v>
          </cell>
          <cell r="C59">
            <v>46367</v>
          </cell>
          <cell r="D59">
            <v>0</v>
          </cell>
        </row>
        <row r="60">
          <cell r="A60" t="str">
            <v>Final Fixture</v>
          </cell>
          <cell r="B60">
            <v>46346</v>
          </cell>
          <cell r="C60">
            <v>46366</v>
          </cell>
          <cell r="D60">
            <v>0</v>
          </cell>
        </row>
        <row r="61">
          <cell r="A61" t="str">
            <v>Terrace</v>
          </cell>
        </row>
        <row r="62">
          <cell r="A62" t="str">
            <v>PHE Piping installation</v>
          </cell>
          <cell r="B62">
            <v>46310</v>
          </cell>
          <cell r="C62">
            <v>46351</v>
          </cell>
          <cell r="D62">
            <v>0</v>
          </cell>
        </row>
        <row r="63">
          <cell r="A63" t="str">
            <v>Cable Tray Installation</v>
          </cell>
          <cell r="B63">
            <v>46310</v>
          </cell>
          <cell r="C63">
            <v>46347</v>
          </cell>
          <cell r="D63">
            <v>0</v>
          </cell>
        </row>
        <row r="64">
          <cell r="A64" t="str">
            <v>Solar Panel Installation</v>
          </cell>
          <cell r="B64">
            <v>46331</v>
          </cell>
          <cell r="C64">
            <v>46372</v>
          </cell>
          <cell r="D64">
            <v>0</v>
          </cell>
        </row>
        <row r="65">
          <cell r="A65" t="str">
            <v>OHT</v>
          </cell>
          <cell r="B65">
            <v>46331</v>
          </cell>
          <cell r="C65">
            <v>46366</v>
          </cell>
          <cell r="D65">
            <v>0.35</v>
          </cell>
          <cell r="E65">
            <v>0.41</v>
          </cell>
        </row>
        <row r="66">
          <cell r="A66" t="str">
            <v>Terrace Waterproofing</v>
          </cell>
          <cell r="B66">
            <v>46275</v>
          </cell>
          <cell r="C66">
            <v>46361</v>
          </cell>
          <cell r="D66">
            <v>0.75</v>
          </cell>
          <cell r="E66">
            <v>0.77</v>
          </cell>
        </row>
        <row r="67">
          <cell r="A67" t="str">
            <v>Truss with Polycarbonate Sheet</v>
          </cell>
          <cell r="B67">
            <v>46295</v>
          </cell>
          <cell r="C67">
            <v>46341</v>
          </cell>
          <cell r="D67">
            <v>0</v>
          </cell>
        </row>
        <row r="68">
          <cell r="A68" t="str">
            <v>Lift Installation with slow speed</v>
          </cell>
        </row>
        <row r="69">
          <cell r="A69" t="str">
            <v>2 Nos.</v>
          </cell>
          <cell r="B69">
            <v>46295</v>
          </cell>
          <cell r="C69">
            <v>46331</v>
          </cell>
          <cell r="D69">
            <v>0</v>
          </cell>
        </row>
        <row r="70">
          <cell r="A70" t="str">
            <v>1 Nos.</v>
          </cell>
          <cell r="B70">
            <v>46302</v>
          </cell>
          <cell r="C70">
            <v>46344</v>
          </cell>
          <cell r="D70">
            <v>0</v>
          </cell>
        </row>
        <row r="71">
          <cell r="A71" t="str">
            <v>2 Nos.</v>
          </cell>
          <cell r="B71">
            <v>46306</v>
          </cell>
          <cell r="C71">
            <v>46354</v>
          </cell>
          <cell r="D71">
            <v>0</v>
          </cell>
        </row>
        <row r="72">
          <cell r="A72" t="str">
            <v>2 Nos.</v>
          </cell>
          <cell r="B72">
            <v>46341</v>
          </cell>
          <cell r="C72">
            <v>46377</v>
          </cell>
          <cell r="D72">
            <v>0</v>
          </cell>
        </row>
        <row r="73">
          <cell r="A73" t="str">
            <v>2 Nos.</v>
          </cell>
          <cell r="B73">
            <v>46319</v>
          </cell>
          <cell r="C73">
            <v>46364</v>
          </cell>
          <cell r="D73">
            <v>0</v>
          </cell>
        </row>
        <row r="74">
          <cell r="A74" t="str">
            <v>2 Nos. (Dumb waiter)</v>
          </cell>
          <cell r="B74">
            <v>46323</v>
          </cell>
          <cell r="C74">
            <v>46373</v>
          </cell>
          <cell r="D74">
            <v>0</v>
          </cell>
        </row>
        <row r="75">
          <cell r="A75" t="str">
            <v>Permanent Power</v>
          </cell>
        </row>
        <row r="76">
          <cell r="A76" t="str">
            <v>ESS1 to EMR Cable laying</v>
          </cell>
          <cell r="B76">
            <v>46275</v>
          </cell>
          <cell r="C76">
            <v>46303</v>
          </cell>
          <cell r="D76">
            <v>0.25</v>
          </cell>
          <cell r="E76">
            <v>0.28999999999999998</v>
          </cell>
        </row>
        <row r="77">
          <cell r="A77" t="str">
            <v>Main LT Panel Energisation</v>
          </cell>
          <cell r="B77">
            <v>46320</v>
          </cell>
          <cell r="C77">
            <v>46336</v>
          </cell>
          <cell r="D77">
            <v>0</v>
          </cell>
        </row>
        <row r="78">
          <cell r="A78" t="str">
            <v>Rising Main</v>
          </cell>
          <cell r="B78">
            <v>46323</v>
          </cell>
          <cell r="C78">
            <v>46341</v>
          </cell>
          <cell r="D78">
            <v>0</v>
          </cell>
        </row>
        <row r="79">
          <cell r="A79" t="str">
            <v>Testing with Permanent Power / Completion</v>
          </cell>
        </row>
        <row r="80">
          <cell r="A80" t="str">
            <v xml:space="preserve">Lift </v>
          </cell>
          <cell r="B80">
            <v>46357</v>
          </cell>
          <cell r="C80">
            <v>46380</v>
          </cell>
        </row>
        <row r="81">
          <cell r="A81" t="str">
            <v>IT/Data Services</v>
          </cell>
          <cell r="B81">
            <v>46351</v>
          </cell>
          <cell r="C81">
            <v>46376</v>
          </cell>
        </row>
        <row r="82">
          <cell r="A82" t="str">
            <v>Fire Control System</v>
          </cell>
          <cell r="B82">
            <v>46361</v>
          </cell>
          <cell r="C82">
            <v>46380</v>
          </cell>
        </row>
        <row r="83">
          <cell r="A83" t="str">
            <v>HVAC System</v>
          </cell>
          <cell r="B83">
            <v>46346</v>
          </cell>
          <cell r="C83">
            <v>46376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4E9D-74B8-4B1F-821B-CBAC88DEB0E0}">
  <dimension ref="A1:L1048571"/>
  <sheetViews>
    <sheetView workbookViewId="0">
      <selection activeCell="A11" sqref="A11"/>
    </sheetView>
  </sheetViews>
  <sheetFormatPr defaultColWidth="3" defaultRowHeight="17" x14ac:dyDescent="0.4"/>
  <cols>
    <col min="1" max="1" width="43.08984375" style="46" customWidth="1"/>
    <col min="2" max="3" width="14.54296875" style="47" customWidth="1"/>
    <col min="4" max="4" width="14.54296875" style="7" customWidth="1"/>
    <col min="5" max="5" width="14.54296875" style="48" customWidth="1"/>
    <col min="6" max="7" width="14.54296875" style="49" customWidth="1"/>
    <col min="8" max="11" width="14.54296875" style="48" customWidth="1"/>
    <col min="12" max="12" width="32.54296875" style="48" bestFit="1" customWidth="1"/>
    <col min="13" max="21" width="3" style="7"/>
    <col min="22" max="22" width="5.1796875" style="7" bestFit="1" customWidth="1"/>
    <col min="23" max="16384" width="3" style="7"/>
  </cols>
  <sheetData>
    <row r="1" spans="1:12" ht="30.75" customHeight="1" x14ac:dyDescent="0.35">
      <c r="A1" s="1" t="s">
        <v>0</v>
      </c>
      <c r="B1" s="2"/>
      <c r="C1" s="2"/>
      <c r="D1" s="3"/>
      <c r="E1" s="4"/>
      <c r="F1" s="5"/>
      <c r="G1" s="5"/>
      <c r="H1" s="4"/>
      <c r="I1" s="4"/>
      <c r="J1" s="4"/>
      <c r="K1" s="6"/>
      <c r="L1" s="6"/>
    </row>
    <row r="2" spans="1:12" s="14" customFormat="1" ht="15.75" customHeight="1" x14ac:dyDescent="0.35">
      <c r="A2" s="8" t="s">
        <v>1</v>
      </c>
      <c r="B2" s="9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</row>
    <row r="3" spans="1:12" ht="38.15" customHeight="1" x14ac:dyDescent="0.35">
      <c r="A3" s="8"/>
      <c r="B3" s="15"/>
      <c r="C3" s="15"/>
      <c r="D3" s="16"/>
      <c r="E3" s="17"/>
      <c r="F3" s="18"/>
      <c r="G3" s="18"/>
      <c r="H3" s="11"/>
      <c r="I3" s="11"/>
      <c r="J3" s="11"/>
      <c r="K3" s="11"/>
      <c r="L3" s="11"/>
    </row>
    <row r="4" spans="1:12" ht="30" customHeight="1" x14ac:dyDescent="0.35">
      <c r="A4" s="19" t="s">
        <v>13</v>
      </c>
      <c r="B4" s="20"/>
      <c r="C4" s="20"/>
      <c r="D4" s="21"/>
      <c r="E4" s="22"/>
      <c r="F4" s="23"/>
      <c r="G4" s="23"/>
      <c r="H4" s="22"/>
      <c r="I4" s="22"/>
      <c r="J4" s="22"/>
      <c r="K4" s="22"/>
      <c r="L4" s="22"/>
    </row>
    <row r="5" spans="1:12" ht="18.5" x14ac:dyDescent="0.35">
      <c r="A5" s="24" t="s">
        <v>14</v>
      </c>
      <c r="B5" s="25">
        <v>45910</v>
      </c>
      <c r="C5" s="25">
        <v>46305</v>
      </c>
      <c r="D5" s="26" t="s">
        <v>15</v>
      </c>
      <c r="E5" s="27">
        <v>4151</v>
      </c>
      <c r="F5" s="27">
        <v>4115.45</v>
      </c>
      <c r="G5" s="28">
        <f>F5/E5</f>
        <v>0.99143579860274633</v>
      </c>
      <c r="H5" s="27">
        <f>(E5-F5)*G5</f>
        <v>35.245542640327812</v>
      </c>
      <c r="I5" s="27" t="e">
        <f ca="1">H5/(C5-(IF(B5&gt;TODAY(),B5,TODAY())))</f>
        <v>#DIV/0!</v>
      </c>
      <c r="J5" s="27" t="e">
        <f ca="1">ROUND(I5/1,0)</f>
        <v>#DIV/0!</v>
      </c>
      <c r="K5" s="27">
        <v>65</v>
      </c>
      <c r="L5" s="27"/>
    </row>
    <row r="6" spans="1:12" ht="18.5" x14ac:dyDescent="0.35">
      <c r="A6" s="29" t="s">
        <v>16</v>
      </c>
      <c r="B6" s="25">
        <v>45991</v>
      </c>
      <c r="C6" s="25">
        <v>46320</v>
      </c>
      <c r="D6" s="26" t="s">
        <v>17</v>
      </c>
      <c r="E6" s="27">
        <v>50950</v>
      </c>
      <c r="F6" s="27">
        <v>50087.5</v>
      </c>
      <c r="G6" s="28">
        <f>F6/E6</f>
        <v>0.98307163886162907</v>
      </c>
      <c r="H6" s="27">
        <f>(E6-F6)*G6</f>
        <v>847.89928851815512</v>
      </c>
      <c r="I6" s="27">
        <f ca="1">H6/(C6-(IF(B6&gt;TODAY(),B6,TODAY())))</f>
        <v>56.526619234543674</v>
      </c>
      <c r="J6" s="27">
        <f ca="1">ROUND(I6/10,0)</f>
        <v>6</v>
      </c>
      <c r="K6" s="27">
        <v>7</v>
      </c>
      <c r="L6" s="27"/>
    </row>
    <row r="7" spans="1:12" ht="18.5" x14ac:dyDescent="0.35">
      <c r="A7" s="29" t="s">
        <v>18</v>
      </c>
      <c r="B7" s="25">
        <v>46047</v>
      </c>
      <c r="C7" s="25">
        <v>46341</v>
      </c>
      <c r="D7" s="26" t="s">
        <v>19</v>
      </c>
      <c r="E7" s="27">
        <f>206+511</f>
        <v>717</v>
      </c>
      <c r="F7" s="27">
        <v>378</v>
      </c>
      <c r="G7" s="28">
        <f>F7/E7</f>
        <v>0.52719665271966532</v>
      </c>
      <c r="H7" s="27">
        <f>(E7-F7)*G7</f>
        <v>178.71966527196653</v>
      </c>
      <c r="I7" s="27">
        <f ca="1">H7/(C7-(IF(B7&gt;TODAY(),B7,TODAY())))</f>
        <v>4.964435146443515</v>
      </c>
      <c r="J7" s="27">
        <f ca="1">ROUND(I7/3,0)</f>
        <v>2</v>
      </c>
      <c r="K7" s="27">
        <v>14</v>
      </c>
      <c r="L7" s="27"/>
    </row>
    <row r="8" spans="1:12" ht="18.5" x14ac:dyDescent="0.35">
      <c r="A8" s="29" t="s">
        <v>20</v>
      </c>
      <c r="B8" s="25">
        <v>46009</v>
      </c>
      <c r="C8" s="25">
        <v>46351</v>
      </c>
      <c r="D8" s="26" t="s">
        <v>17</v>
      </c>
      <c r="E8" s="27">
        <v>29200</v>
      </c>
      <c r="F8" s="27">
        <v>22255</v>
      </c>
      <c r="G8" s="30">
        <f t="shared" ref="G8:G15" si="0">F8/E8</f>
        <v>0.7621575342465754</v>
      </c>
      <c r="H8" s="27">
        <f t="shared" ref="H8:H15" si="1">(E8-F8)*G8</f>
        <v>5293.1840753424658</v>
      </c>
      <c r="I8" s="27">
        <f t="shared" ref="I8:I15" ca="1" si="2">H8/(C8-(IF(B8&gt;TODAY(),B8,TODAY())))</f>
        <v>115.06921902918404</v>
      </c>
      <c r="J8" s="27">
        <f t="shared" ref="J8" ca="1" si="3">ROUND(I8/3,0)</f>
        <v>38</v>
      </c>
      <c r="K8" s="27">
        <v>30</v>
      </c>
      <c r="L8" s="27"/>
    </row>
    <row r="9" spans="1:12" ht="18.5" x14ac:dyDescent="0.35">
      <c r="A9" s="29" t="s">
        <v>21</v>
      </c>
      <c r="B9" s="25">
        <v>46211</v>
      </c>
      <c r="C9" s="25">
        <v>46310</v>
      </c>
      <c r="D9" s="26" t="s">
        <v>17</v>
      </c>
      <c r="E9" s="27">
        <v>4152</v>
      </c>
      <c r="F9" s="27">
        <v>2283.6000000000004</v>
      </c>
      <c r="G9" s="30">
        <f t="shared" si="0"/>
        <v>0.55000000000000004</v>
      </c>
      <c r="H9" s="27">
        <f t="shared" si="1"/>
        <v>1027.6199999999999</v>
      </c>
      <c r="I9" s="27">
        <f t="shared" ca="1" si="2"/>
        <v>205.52399999999997</v>
      </c>
      <c r="J9" s="27">
        <f ca="1">ROUND(I9/12,0)</f>
        <v>17</v>
      </c>
      <c r="K9" s="27">
        <v>9</v>
      </c>
      <c r="L9" s="27"/>
    </row>
    <row r="10" spans="1:12" ht="18.5" x14ac:dyDescent="0.35">
      <c r="A10" s="29" t="s">
        <v>22</v>
      </c>
      <c r="B10" s="25">
        <v>46270</v>
      </c>
      <c r="C10" s="25">
        <v>46323</v>
      </c>
      <c r="D10" s="26" t="s">
        <v>17</v>
      </c>
      <c r="E10" s="27">
        <v>3598</v>
      </c>
      <c r="F10" s="27">
        <v>408</v>
      </c>
      <c r="G10" s="30">
        <f t="shared" si="0"/>
        <v>0.11339633129516398</v>
      </c>
      <c r="H10" s="27">
        <f t="shared" si="1"/>
        <v>361.73429683157309</v>
      </c>
      <c r="I10" s="27">
        <f t="shared" ca="1" si="2"/>
        <v>20.096349823976283</v>
      </c>
      <c r="J10" s="27">
        <f ca="1">ROUND(I10/12,0)</f>
        <v>2</v>
      </c>
      <c r="K10" s="27">
        <v>5</v>
      </c>
      <c r="L10" s="27"/>
    </row>
    <row r="11" spans="1:12" ht="18.5" x14ac:dyDescent="0.35">
      <c r="A11" s="29" t="s">
        <v>23</v>
      </c>
      <c r="B11" s="25">
        <v>46331</v>
      </c>
      <c r="C11" s="25">
        <v>46346</v>
      </c>
      <c r="D11" s="26" t="s">
        <v>17</v>
      </c>
      <c r="E11" s="27">
        <v>3598</v>
      </c>
      <c r="F11" s="27">
        <v>0</v>
      </c>
      <c r="G11" s="30">
        <f t="shared" si="0"/>
        <v>0</v>
      </c>
      <c r="H11" s="27">
        <f t="shared" si="1"/>
        <v>0</v>
      </c>
      <c r="I11" s="27">
        <f t="shared" ca="1" si="2"/>
        <v>0</v>
      </c>
      <c r="J11" s="27">
        <f ca="1">ROUND(I11/12,0)</f>
        <v>0</v>
      </c>
      <c r="K11" s="27"/>
      <c r="L11" s="27"/>
    </row>
    <row r="12" spans="1:12" ht="18.5" x14ac:dyDescent="0.35">
      <c r="A12" s="29" t="s">
        <v>24</v>
      </c>
      <c r="B12" s="25">
        <v>46356</v>
      </c>
      <c r="C12" s="25">
        <v>46371</v>
      </c>
      <c r="D12" s="26" t="s">
        <v>17</v>
      </c>
      <c r="E12" s="27">
        <v>3715</v>
      </c>
      <c r="F12" s="27">
        <v>0</v>
      </c>
      <c r="G12" s="30">
        <f t="shared" si="0"/>
        <v>0</v>
      </c>
      <c r="H12" s="27">
        <f t="shared" si="1"/>
        <v>0</v>
      </c>
      <c r="I12" s="27">
        <f t="shared" ca="1" si="2"/>
        <v>0</v>
      </c>
      <c r="J12" s="27">
        <f ca="1">ROUND(I12/12,0)</f>
        <v>0</v>
      </c>
      <c r="K12" s="27"/>
      <c r="L12" s="27"/>
    </row>
    <row r="13" spans="1:12" ht="18.5" x14ac:dyDescent="0.35">
      <c r="A13" s="29" t="s">
        <v>25</v>
      </c>
      <c r="B13" s="25">
        <v>46295</v>
      </c>
      <c r="C13" s="25">
        <v>46351</v>
      </c>
      <c r="D13" s="26" t="s">
        <v>17</v>
      </c>
      <c r="E13" s="27">
        <f>60*4</f>
        <v>240</v>
      </c>
      <c r="F13" s="27">
        <v>0</v>
      </c>
      <c r="G13" s="30">
        <f t="shared" si="0"/>
        <v>0</v>
      </c>
      <c r="H13" s="27">
        <f t="shared" si="1"/>
        <v>0</v>
      </c>
      <c r="I13" s="27">
        <f t="shared" ca="1" si="2"/>
        <v>0</v>
      </c>
      <c r="J13" s="27">
        <f ca="1">ROUND(I13/6,0)</f>
        <v>0</v>
      </c>
      <c r="K13" s="27"/>
      <c r="L13" s="31" t="s">
        <v>26</v>
      </c>
    </row>
    <row r="14" spans="1:12" ht="18.5" x14ac:dyDescent="0.35">
      <c r="A14" s="24" t="s">
        <v>27</v>
      </c>
      <c r="B14" s="25">
        <v>46320</v>
      </c>
      <c r="C14" s="25">
        <v>46380</v>
      </c>
      <c r="D14" s="26" t="s">
        <v>17</v>
      </c>
      <c r="E14" s="27">
        <v>640</v>
      </c>
      <c r="F14" s="27">
        <v>0</v>
      </c>
      <c r="G14" s="28">
        <f t="shared" si="0"/>
        <v>0</v>
      </c>
      <c r="H14" s="27">
        <f t="shared" si="1"/>
        <v>0</v>
      </c>
      <c r="I14" s="27">
        <f t="shared" ca="1" si="2"/>
        <v>0</v>
      </c>
      <c r="J14" s="27">
        <f ca="1">ROUND(I14/8,0)</f>
        <v>0</v>
      </c>
      <c r="K14" s="27"/>
      <c r="L14" s="31" t="s">
        <v>28</v>
      </c>
    </row>
    <row r="15" spans="1:12" ht="18.5" x14ac:dyDescent="0.35">
      <c r="A15" s="24" t="s">
        <v>29</v>
      </c>
      <c r="B15" s="25">
        <v>46341</v>
      </c>
      <c r="C15" s="25">
        <v>46380</v>
      </c>
      <c r="D15" s="26" t="s">
        <v>30</v>
      </c>
      <c r="E15" s="27">
        <f>96*4+45+21+25</f>
        <v>475</v>
      </c>
      <c r="F15" s="27">
        <v>0</v>
      </c>
      <c r="G15" s="28">
        <f t="shared" si="0"/>
        <v>0</v>
      </c>
      <c r="H15" s="27">
        <f t="shared" si="1"/>
        <v>0</v>
      </c>
      <c r="I15" s="27">
        <f t="shared" ca="1" si="2"/>
        <v>0</v>
      </c>
      <c r="J15" s="27">
        <f ca="1">ROUND(I15/9,0)</f>
        <v>0</v>
      </c>
      <c r="K15" s="27"/>
      <c r="L15" s="31" t="s">
        <v>31</v>
      </c>
    </row>
    <row r="16" spans="1:12" s="37" customFormat="1" ht="30" customHeight="1" x14ac:dyDescent="0.35">
      <c r="A16" s="32" t="s">
        <v>32</v>
      </c>
      <c r="B16" s="33"/>
      <c r="C16" s="33"/>
      <c r="D16" s="34"/>
      <c r="E16" s="35"/>
      <c r="F16" s="36"/>
      <c r="G16" s="36"/>
      <c r="H16" s="35"/>
      <c r="I16" s="35"/>
      <c r="J16" s="35"/>
      <c r="K16" s="35"/>
      <c r="L16" s="35"/>
    </row>
    <row r="17" spans="1:12" s="39" customFormat="1" ht="18.5" x14ac:dyDescent="0.35">
      <c r="A17" s="29" t="s">
        <v>33</v>
      </c>
      <c r="B17" s="25"/>
      <c r="C17" s="25"/>
      <c r="D17" s="26"/>
      <c r="E17" s="27"/>
      <c r="F17" s="27"/>
      <c r="G17" s="30"/>
      <c r="H17" s="27"/>
      <c r="I17" s="27"/>
      <c r="J17" s="27"/>
      <c r="K17" s="38"/>
      <c r="L17" s="38"/>
    </row>
    <row r="18" spans="1:12" s="39" customFormat="1" ht="18.5" x14ac:dyDescent="0.35">
      <c r="A18" s="40" t="s">
        <v>14</v>
      </c>
      <c r="B18" s="25">
        <v>46308</v>
      </c>
      <c r="C18" s="25">
        <v>46315</v>
      </c>
      <c r="D18" s="26" t="s">
        <v>17</v>
      </c>
      <c r="E18" s="27">
        <v>865</v>
      </c>
      <c r="F18" s="27">
        <v>825</v>
      </c>
      <c r="G18" s="30">
        <f t="shared" ref="G18:G30" si="4">F18/E18</f>
        <v>0.95375722543352603</v>
      </c>
      <c r="H18" s="27">
        <f t="shared" ref="H18:H30" si="5">(E18-F18)*G18</f>
        <v>38.150289017341038</v>
      </c>
      <c r="I18" s="27">
        <f t="shared" ref="I18:I30" ca="1" si="6">H18/(C18-(IF(B18&gt;TODAY(),B18,TODAY())))</f>
        <v>5.450041288191577</v>
      </c>
      <c r="J18" s="27">
        <f ca="1">ROUND(I18/1,0)</f>
        <v>5</v>
      </c>
      <c r="K18" s="27"/>
      <c r="L18" s="27" t="s">
        <v>34</v>
      </c>
    </row>
    <row r="19" spans="1:12" s="39" customFormat="1" ht="18.5" x14ac:dyDescent="0.35">
      <c r="A19" s="40" t="s">
        <v>35</v>
      </c>
      <c r="B19" s="25">
        <f>C18+1</f>
        <v>46316</v>
      </c>
      <c r="C19" s="25">
        <f>C18+8</f>
        <v>46323</v>
      </c>
      <c r="D19" s="26" t="s">
        <v>17</v>
      </c>
      <c r="E19" s="27">
        <v>1012</v>
      </c>
      <c r="F19" s="27">
        <v>896</v>
      </c>
      <c r="G19" s="30">
        <f t="shared" si="4"/>
        <v>0.88537549407114624</v>
      </c>
      <c r="H19" s="27">
        <f t="shared" si="5"/>
        <v>102.70355731225297</v>
      </c>
      <c r="I19" s="27">
        <f t="shared" ca="1" si="6"/>
        <v>14.671936758893281</v>
      </c>
      <c r="J19" s="27">
        <f ca="1">ROUND(I19/10,0)</f>
        <v>1</v>
      </c>
      <c r="K19" s="27"/>
      <c r="L19" s="27"/>
    </row>
    <row r="20" spans="1:12" s="39" customFormat="1" ht="18.5" x14ac:dyDescent="0.35">
      <c r="A20" s="40" t="s">
        <v>36</v>
      </c>
      <c r="B20" s="25">
        <v>46296</v>
      </c>
      <c r="C20" s="25">
        <v>46333</v>
      </c>
      <c r="D20" s="26" t="s">
        <v>17</v>
      </c>
      <c r="E20" s="27">
        <v>345</v>
      </c>
      <c r="F20" s="27">
        <v>27</v>
      </c>
      <c r="G20" s="30">
        <f t="shared" si="4"/>
        <v>7.8260869565217397E-2</v>
      </c>
      <c r="H20" s="27">
        <f t="shared" si="5"/>
        <v>24.886956521739133</v>
      </c>
      <c r="I20" s="27">
        <f t="shared" ca="1" si="6"/>
        <v>0.88881987577639765</v>
      </c>
      <c r="J20" s="27">
        <f ca="1">ROUND(I20/12,0)</f>
        <v>0</v>
      </c>
      <c r="K20" s="27">
        <v>4</v>
      </c>
      <c r="L20" s="27" t="s">
        <v>37</v>
      </c>
    </row>
    <row r="21" spans="1:12" s="39" customFormat="1" ht="18.5" x14ac:dyDescent="0.35">
      <c r="A21" s="40" t="s">
        <v>38</v>
      </c>
      <c r="B21" s="25">
        <f>B20+3</f>
        <v>46299</v>
      </c>
      <c r="C21" s="25">
        <f>C20+3</f>
        <v>46336</v>
      </c>
      <c r="D21" s="26" t="s">
        <v>17</v>
      </c>
      <c r="E21" s="27">
        <v>345</v>
      </c>
      <c r="F21" s="27">
        <v>0</v>
      </c>
      <c r="G21" s="30">
        <f t="shared" si="4"/>
        <v>0</v>
      </c>
      <c r="H21" s="27">
        <f t="shared" si="5"/>
        <v>0</v>
      </c>
      <c r="I21" s="27">
        <f t="shared" ca="1" si="6"/>
        <v>0</v>
      </c>
      <c r="J21" s="27">
        <f ca="1">ROUND(I21/10,0)</f>
        <v>0</v>
      </c>
      <c r="K21" s="27"/>
      <c r="L21" s="27"/>
    </row>
    <row r="22" spans="1:12" s="39" customFormat="1" ht="18.5" x14ac:dyDescent="0.35">
      <c r="A22" s="40" t="s">
        <v>39</v>
      </c>
      <c r="B22" s="25">
        <v>46305</v>
      </c>
      <c r="C22" s="25">
        <f>C21+5</f>
        <v>46341</v>
      </c>
      <c r="D22" s="26" t="s">
        <v>17</v>
      </c>
      <c r="E22" s="27">
        <f>28*0.96*20.7+13.46*8.4</f>
        <v>669.4799999999999</v>
      </c>
      <c r="F22" s="27">
        <v>0</v>
      </c>
      <c r="G22" s="30">
        <f t="shared" si="4"/>
        <v>0</v>
      </c>
      <c r="H22" s="27">
        <f t="shared" si="5"/>
        <v>0</v>
      </c>
      <c r="I22" s="27">
        <f t="shared" ca="1" si="6"/>
        <v>0</v>
      </c>
      <c r="J22" s="27">
        <f ca="1">ROUND(I22/5,0)</f>
        <v>0</v>
      </c>
      <c r="K22" s="27"/>
      <c r="L22" s="27" t="s">
        <v>37</v>
      </c>
    </row>
    <row r="23" spans="1:12" s="39" customFormat="1" ht="18.5" x14ac:dyDescent="0.35">
      <c r="A23" s="40" t="s">
        <v>40</v>
      </c>
      <c r="B23" s="25">
        <f>C22+1</f>
        <v>46342</v>
      </c>
      <c r="C23" s="25">
        <f>B23+4</f>
        <v>46346</v>
      </c>
      <c r="D23" s="26" t="s">
        <v>17</v>
      </c>
      <c r="E23" s="27">
        <v>1270</v>
      </c>
      <c r="F23" s="27">
        <v>0</v>
      </c>
      <c r="G23" s="30">
        <f t="shared" si="4"/>
        <v>0</v>
      </c>
      <c r="H23" s="27">
        <f t="shared" si="5"/>
        <v>0</v>
      </c>
      <c r="I23" s="27">
        <f t="shared" ca="1" si="6"/>
        <v>0</v>
      </c>
      <c r="J23" s="27">
        <f ca="1">ROUND(I23/10,0)</f>
        <v>0</v>
      </c>
      <c r="K23" s="27"/>
      <c r="L23" s="27"/>
    </row>
    <row r="24" spans="1:12" s="39" customFormat="1" ht="18.5" x14ac:dyDescent="0.35">
      <c r="A24" s="29" t="s">
        <v>41</v>
      </c>
      <c r="B24" s="25"/>
      <c r="C24" s="25"/>
      <c r="D24" s="26"/>
      <c r="E24" s="27"/>
      <c r="F24" s="27"/>
      <c r="G24" s="30"/>
      <c r="H24" s="27"/>
      <c r="I24" s="27"/>
      <c r="J24" s="27"/>
      <c r="K24" s="38"/>
      <c r="L24" s="38"/>
    </row>
    <row r="25" spans="1:12" s="39" customFormat="1" ht="18.5" x14ac:dyDescent="0.35">
      <c r="A25" s="40" t="s">
        <v>14</v>
      </c>
      <c r="B25" s="25">
        <v>46297</v>
      </c>
      <c r="C25" s="25">
        <v>46318</v>
      </c>
      <c r="D25" s="26" t="s">
        <v>17</v>
      </c>
      <c r="E25" s="27">
        <f>51/0.115</f>
        <v>443.47826086956519</v>
      </c>
      <c r="F25" s="27">
        <v>408</v>
      </c>
      <c r="G25" s="30">
        <f t="shared" si="4"/>
        <v>0.92</v>
      </c>
      <c r="H25" s="27">
        <f t="shared" si="5"/>
        <v>32.639999999999979</v>
      </c>
      <c r="I25" s="27">
        <f t="shared" ca="1" si="6"/>
        <v>2.5107692307692293</v>
      </c>
      <c r="J25" s="27">
        <f ca="1">ROUND(I25/1,0)</f>
        <v>3</v>
      </c>
      <c r="K25" s="38">
        <v>4</v>
      </c>
      <c r="L25" s="38"/>
    </row>
    <row r="26" spans="1:12" s="39" customFormat="1" ht="18.5" x14ac:dyDescent="0.35">
      <c r="A26" s="40" t="s">
        <v>35</v>
      </c>
      <c r="B26" s="25">
        <f>B25+1</f>
        <v>46298</v>
      </c>
      <c r="C26" s="25">
        <f>C25+8</f>
        <v>46326</v>
      </c>
      <c r="D26" s="26" t="s">
        <v>17</v>
      </c>
      <c r="E26" s="27">
        <v>780</v>
      </c>
      <c r="F26" s="27">
        <v>590</v>
      </c>
      <c r="G26" s="30">
        <f t="shared" si="4"/>
        <v>0.75641025641025639</v>
      </c>
      <c r="H26" s="27">
        <f t="shared" si="5"/>
        <v>143.7179487179487</v>
      </c>
      <c r="I26" s="27">
        <f t="shared" ca="1" si="6"/>
        <v>6.8437118437118425</v>
      </c>
      <c r="J26" s="27">
        <f ca="1">ROUND(I26/10,0)</f>
        <v>1</v>
      </c>
      <c r="K26" s="38"/>
      <c r="L26" s="38"/>
    </row>
    <row r="27" spans="1:12" s="39" customFormat="1" ht="18.5" x14ac:dyDescent="0.35">
      <c r="A27" s="40" t="s">
        <v>36</v>
      </c>
      <c r="B27" s="25">
        <v>46300</v>
      </c>
      <c r="C27" s="25">
        <v>46337</v>
      </c>
      <c r="D27" s="26" t="s">
        <v>17</v>
      </c>
      <c r="E27" s="27">
        <v>215</v>
      </c>
      <c r="F27" s="38">
        <v>78</v>
      </c>
      <c r="G27" s="30">
        <f t="shared" si="4"/>
        <v>0.36279069767441863</v>
      </c>
      <c r="H27" s="27">
        <f t="shared" si="5"/>
        <v>49.70232558139535</v>
      </c>
      <c r="I27" s="27">
        <f t="shared" ca="1" si="6"/>
        <v>1.5531976744186047</v>
      </c>
      <c r="J27" s="27">
        <f ca="1">ROUND(I27/12,0)</f>
        <v>0</v>
      </c>
      <c r="K27" s="38">
        <v>11</v>
      </c>
      <c r="L27" s="38"/>
    </row>
    <row r="28" spans="1:12" s="39" customFormat="1" ht="18.5" x14ac:dyDescent="0.35">
      <c r="A28" s="40" t="s">
        <v>38</v>
      </c>
      <c r="B28" s="25">
        <f>B27+3</f>
        <v>46303</v>
      </c>
      <c r="C28" s="25">
        <f>C27+3</f>
        <v>46340</v>
      </c>
      <c r="D28" s="26" t="s">
        <v>17</v>
      </c>
      <c r="E28" s="27">
        <v>215</v>
      </c>
      <c r="F28" s="27">
        <v>14</v>
      </c>
      <c r="G28" s="30">
        <f t="shared" si="4"/>
        <v>6.5116279069767441E-2</v>
      </c>
      <c r="H28" s="27">
        <f t="shared" si="5"/>
        <v>13.088372093023256</v>
      </c>
      <c r="I28" s="27">
        <f t="shared" ca="1" si="6"/>
        <v>0.37395348837209302</v>
      </c>
      <c r="J28" s="27">
        <f ca="1">ROUND(I28/10,0)</f>
        <v>0</v>
      </c>
      <c r="K28" s="38">
        <v>4</v>
      </c>
      <c r="L28" s="38"/>
    </row>
    <row r="29" spans="1:12" s="39" customFormat="1" ht="18.5" x14ac:dyDescent="0.35">
      <c r="A29" s="40" t="s">
        <v>39</v>
      </c>
      <c r="B29" s="25">
        <v>46311</v>
      </c>
      <c r="C29" s="25">
        <f>C28+7</f>
        <v>46347</v>
      </c>
      <c r="D29" s="26" t="s">
        <v>17</v>
      </c>
      <c r="E29" s="27">
        <f>16*2.05*8.4</f>
        <v>275.52</v>
      </c>
      <c r="F29" s="27">
        <v>0</v>
      </c>
      <c r="G29" s="30">
        <f t="shared" si="4"/>
        <v>0</v>
      </c>
      <c r="H29" s="27">
        <f t="shared" si="5"/>
        <v>0</v>
      </c>
      <c r="I29" s="27">
        <f t="shared" ca="1" si="6"/>
        <v>0</v>
      </c>
      <c r="J29" s="27">
        <f ca="1">ROUND(I29/5,0)</f>
        <v>0</v>
      </c>
      <c r="K29" s="38"/>
      <c r="L29" s="38"/>
    </row>
    <row r="30" spans="1:12" s="39" customFormat="1" ht="18.5" x14ac:dyDescent="0.35">
      <c r="A30" s="40" t="s">
        <v>40</v>
      </c>
      <c r="B30" s="25">
        <f>C29+1</f>
        <v>46348</v>
      </c>
      <c r="C30" s="25">
        <f>B30+3</f>
        <v>46351</v>
      </c>
      <c r="D30" s="26" t="s">
        <v>17</v>
      </c>
      <c r="E30" s="27">
        <v>435</v>
      </c>
      <c r="F30" s="27">
        <v>0</v>
      </c>
      <c r="G30" s="30">
        <f t="shared" si="4"/>
        <v>0</v>
      </c>
      <c r="H30" s="27">
        <f t="shared" si="5"/>
        <v>0</v>
      </c>
      <c r="I30" s="27">
        <f t="shared" ca="1" si="6"/>
        <v>0</v>
      </c>
      <c r="J30" s="27">
        <f ca="1">ROUND(I30/10,0)</f>
        <v>0</v>
      </c>
      <c r="K30" s="38"/>
      <c r="L30" s="38"/>
    </row>
    <row r="31" spans="1:12" s="39" customFormat="1" ht="18.5" x14ac:dyDescent="0.35">
      <c r="A31" s="29" t="s">
        <v>42</v>
      </c>
      <c r="B31" s="25"/>
      <c r="C31" s="25"/>
      <c r="D31" s="26"/>
      <c r="E31" s="27"/>
      <c r="F31" s="27"/>
      <c r="G31" s="30"/>
      <c r="H31" s="27"/>
      <c r="I31" s="27"/>
      <c r="J31" s="27"/>
      <c r="K31" s="38"/>
      <c r="L31" s="38"/>
    </row>
    <row r="32" spans="1:12" s="39" customFormat="1" ht="18.5" x14ac:dyDescent="0.35">
      <c r="A32" s="40" t="s">
        <v>14</v>
      </c>
      <c r="B32" s="25">
        <v>46299</v>
      </c>
      <c r="C32" s="25">
        <v>46325</v>
      </c>
      <c r="D32" s="26" t="s">
        <v>17</v>
      </c>
      <c r="E32" s="27">
        <v>521</v>
      </c>
      <c r="F32" s="41">
        <v>497</v>
      </c>
      <c r="G32" s="30">
        <f t="shared" ref="G32:G44" si="7">F32/E32</f>
        <v>0.95393474088291752</v>
      </c>
      <c r="H32" s="27">
        <f t="shared" ref="H32:H44" si="8">(E32-F32)*G32</f>
        <v>22.89443378119002</v>
      </c>
      <c r="I32" s="27">
        <f t="shared" ref="I32:I44" ca="1" si="9">H32/(C32-(IF(B32&gt;TODAY(),B32,TODAY())))</f>
        <v>1.1447216890595011</v>
      </c>
      <c r="J32" s="27">
        <f ca="1">ROUND(I32/1,0)</f>
        <v>1</v>
      </c>
      <c r="K32" s="38">
        <v>4</v>
      </c>
      <c r="L32" s="38"/>
    </row>
    <row r="33" spans="1:12" s="39" customFormat="1" ht="18.5" x14ac:dyDescent="0.35">
      <c r="A33" s="40" t="s">
        <v>35</v>
      </c>
      <c r="B33" s="25">
        <f>B32+4</f>
        <v>46303</v>
      </c>
      <c r="C33" s="25">
        <f>C32+8</f>
        <v>46333</v>
      </c>
      <c r="D33" s="26" t="s">
        <v>17</v>
      </c>
      <c r="E33" s="27">
        <v>825</v>
      </c>
      <c r="F33" s="38">
        <v>396</v>
      </c>
      <c r="G33" s="30">
        <f t="shared" si="7"/>
        <v>0.48</v>
      </c>
      <c r="H33" s="27">
        <f t="shared" si="8"/>
        <v>205.92</v>
      </c>
      <c r="I33" s="27">
        <f t="shared" ca="1" si="9"/>
        <v>7.3542857142857141</v>
      </c>
      <c r="J33" s="27">
        <f ca="1">ROUND(I33/10,0)</f>
        <v>1</v>
      </c>
      <c r="K33" s="38">
        <v>5</v>
      </c>
      <c r="L33" s="38"/>
    </row>
    <row r="34" spans="1:12" s="39" customFormat="1" ht="18.5" x14ac:dyDescent="0.35">
      <c r="A34" s="40" t="s">
        <v>36</v>
      </c>
      <c r="B34" s="25">
        <v>46320</v>
      </c>
      <c r="C34" s="25">
        <v>46348</v>
      </c>
      <c r="D34" s="26" t="s">
        <v>17</v>
      </c>
      <c r="E34" s="27">
        <v>285</v>
      </c>
      <c r="F34" s="41">
        <v>0</v>
      </c>
      <c r="G34" s="30">
        <f t="shared" si="7"/>
        <v>0</v>
      </c>
      <c r="H34" s="27">
        <f t="shared" si="8"/>
        <v>0</v>
      </c>
      <c r="I34" s="27">
        <f t="shared" ca="1" si="9"/>
        <v>0</v>
      </c>
      <c r="J34" s="27">
        <f ca="1">ROUND(I34/12,0)</f>
        <v>0</v>
      </c>
      <c r="K34" s="38"/>
      <c r="L34" s="38"/>
    </row>
    <row r="35" spans="1:12" s="39" customFormat="1" ht="18.5" x14ac:dyDescent="0.35">
      <c r="A35" s="40" t="s">
        <v>38</v>
      </c>
      <c r="B35" s="25">
        <f>B34+3</f>
        <v>46323</v>
      </c>
      <c r="C35" s="25">
        <f>C34+3</f>
        <v>46351</v>
      </c>
      <c r="D35" s="26" t="s">
        <v>17</v>
      </c>
      <c r="E35" s="27">
        <f>E34</f>
        <v>285</v>
      </c>
      <c r="F35" s="41">
        <v>0</v>
      </c>
      <c r="G35" s="30">
        <f t="shared" si="7"/>
        <v>0</v>
      </c>
      <c r="H35" s="27">
        <f t="shared" si="8"/>
        <v>0</v>
      </c>
      <c r="I35" s="27">
        <f t="shared" ca="1" si="9"/>
        <v>0</v>
      </c>
      <c r="J35" s="27">
        <f ca="1">ROUND(I35/10,0)</f>
        <v>0</v>
      </c>
      <c r="K35" s="38"/>
      <c r="L35" s="38"/>
    </row>
    <row r="36" spans="1:12" s="39" customFormat="1" ht="18.5" x14ac:dyDescent="0.35">
      <c r="A36" s="40" t="s">
        <v>39</v>
      </c>
      <c r="B36" s="25">
        <v>46311</v>
      </c>
      <c r="C36" s="25">
        <f>C35+6</f>
        <v>46357</v>
      </c>
      <c r="D36" s="26" t="s">
        <v>17</v>
      </c>
      <c r="E36" s="27">
        <v>312</v>
      </c>
      <c r="F36" s="41">
        <v>0</v>
      </c>
      <c r="G36" s="30">
        <f t="shared" si="7"/>
        <v>0</v>
      </c>
      <c r="H36" s="27">
        <f t="shared" si="8"/>
        <v>0</v>
      </c>
      <c r="I36" s="27">
        <f t="shared" ca="1" si="9"/>
        <v>0</v>
      </c>
      <c r="J36" s="27">
        <f ca="1">ROUND(I36/5,0)</f>
        <v>0</v>
      </c>
      <c r="K36" s="38"/>
      <c r="L36" s="38"/>
    </row>
    <row r="37" spans="1:12" s="39" customFormat="1" ht="18.5" x14ac:dyDescent="0.35">
      <c r="A37" s="40" t="s">
        <v>40</v>
      </c>
      <c r="B37" s="25">
        <f>C36+1</f>
        <v>46358</v>
      </c>
      <c r="C37" s="25">
        <f>B37+3</f>
        <v>46361</v>
      </c>
      <c r="D37" s="26" t="s">
        <v>17</v>
      </c>
      <c r="E37" s="27">
        <v>456</v>
      </c>
      <c r="F37" s="41">
        <v>0</v>
      </c>
      <c r="G37" s="30">
        <f t="shared" si="7"/>
        <v>0</v>
      </c>
      <c r="H37" s="27">
        <f t="shared" si="8"/>
        <v>0</v>
      </c>
      <c r="I37" s="27">
        <f t="shared" ca="1" si="9"/>
        <v>0</v>
      </c>
      <c r="J37" s="27">
        <f ca="1">ROUND(I37/10,0)</f>
        <v>0</v>
      </c>
      <c r="K37" s="38"/>
      <c r="L37" s="38"/>
    </row>
    <row r="38" spans="1:12" s="39" customFormat="1" ht="18.5" x14ac:dyDescent="0.35">
      <c r="A38" s="29" t="s">
        <v>43</v>
      </c>
      <c r="B38" s="25"/>
      <c r="C38" s="25"/>
      <c r="D38" s="26"/>
      <c r="E38" s="27"/>
      <c r="F38" s="42"/>
      <c r="G38" s="30"/>
      <c r="H38" s="27"/>
      <c r="I38" s="27"/>
      <c r="J38" s="27"/>
      <c r="K38" s="38"/>
      <c r="L38" s="38"/>
    </row>
    <row r="39" spans="1:12" s="39" customFormat="1" ht="18.5" x14ac:dyDescent="0.35">
      <c r="A39" s="40" t="s">
        <v>14</v>
      </c>
      <c r="B39" s="25">
        <v>46310</v>
      </c>
      <c r="C39" s="25">
        <v>46331</v>
      </c>
      <c r="D39" s="26" t="s">
        <v>17</v>
      </c>
      <c r="E39" s="27">
        <f>51/0.115</f>
        <v>443.47826086956519</v>
      </c>
      <c r="F39" s="38">
        <v>425.73913043478257</v>
      </c>
      <c r="G39" s="30">
        <f t="shared" si="7"/>
        <v>0.96</v>
      </c>
      <c r="H39" s="27">
        <f t="shared" si="8"/>
        <v>17.029565217391319</v>
      </c>
      <c r="I39" s="27">
        <f t="shared" ca="1" si="9"/>
        <v>0.81093167701863422</v>
      </c>
      <c r="J39" s="27">
        <f ca="1">ROUND(I39/1,0)</f>
        <v>1</v>
      </c>
      <c r="K39" s="38"/>
      <c r="L39" s="38" t="s">
        <v>44</v>
      </c>
    </row>
    <row r="40" spans="1:12" s="39" customFormat="1" ht="18.5" x14ac:dyDescent="0.35">
      <c r="A40" s="40" t="s">
        <v>35</v>
      </c>
      <c r="B40" s="25">
        <f>C39+1</f>
        <v>46332</v>
      </c>
      <c r="C40" s="25">
        <f>C39+10</f>
        <v>46341</v>
      </c>
      <c r="D40" s="26" t="s">
        <v>17</v>
      </c>
      <c r="E40" s="27">
        <v>780</v>
      </c>
      <c r="F40" s="41">
        <v>0</v>
      </c>
      <c r="G40" s="30">
        <f t="shared" si="7"/>
        <v>0</v>
      </c>
      <c r="H40" s="27">
        <f t="shared" si="8"/>
        <v>0</v>
      </c>
      <c r="I40" s="27">
        <f t="shared" ca="1" si="9"/>
        <v>0</v>
      </c>
      <c r="J40" s="27">
        <f ca="1">ROUND(I40/10,0)</f>
        <v>0</v>
      </c>
      <c r="K40" s="38"/>
      <c r="L40" s="38"/>
    </row>
    <row r="41" spans="1:12" s="39" customFormat="1" ht="18.5" x14ac:dyDescent="0.35">
      <c r="A41" s="40" t="s">
        <v>36</v>
      </c>
      <c r="B41" s="25">
        <v>46331</v>
      </c>
      <c r="C41" s="25">
        <v>46348</v>
      </c>
      <c r="D41" s="26" t="s">
        <v>17</v>
      </c>
      <c r="E41" s="27">
        <v>215</v>
      </c>
      <c r="F41" s="41">
        <v>0</v>
      </c>
      <c r="G41" s="30">
        <f t="shared" si="7"/>
        <v>0</v>
      </c>
      <c r="H41" s="27">
        <f t="shared" si="8"/>
        <v>0</v>
      </c>
      <c r="I41" s="27">
        <f t="shared" ca="1" si="9"/>
        <v>0</v>
      </c>
      <c r="J41" s="27">
        <f ca="1">ROUND(I41/12,0)</f>
        <v>0</v>
      </c>
      <c r="K41" s="38"/>
      <c r="L41" s="38"/>
    </row>
    <row r="42" spans="1:12" s="39" customFormat="1" ht="18.5" x14ac:dyDescent="0.35">
      <c r="A42" s="40" t="s">
        <v>38</v>
      </c>
      <c r="B42" s="25">
        <f>B41+3</f>
        <v>46334</v>
      </c>
      <c r="C42" s="25">
        <f>C41+7</f>
        <v>46355</v>
      </c>
      <c r="D42" s="26" t="s">
        <v>17</v>
      </c>
      <c r="E42" s="27">
        <v>215</v>
      </c>
      <c r="F42" s="41">
        <v>0</v>
      </c>
      <c r="G42" s="30">
        <f t="shared" si="7"/>
        <v>0</v>
      </c>
      <c r="H42" s="27">
        <f t="shared" si="8"/>
        <v>0</v>
      </c>
      <c r="I42" s="27">
        <f t="shared" ca="1" si="9"/>
        <v>0</v>
      </c>
      <c r="J42" s="27">
        <f ca="1">ROUND(I42/10,0)</f>
        <v>0</v>
      </c>
      <c r="K42" s="38"/>
      <c r="L42" s="38"/>
    </row>
    <row r="43" spans="1:12" s="39" customFormat="1" ht="18.5" x14ac:dyDescent="0.35">
      <c r="A43" s="40" t="s">
        <v>39</v>
      </c>
      <c r="B43" s="25">
        <v>46342</v>
      </c>
      <c r="C43" s="25">
        <f>C42+10</f>
        <v>46365</v>
      </c>
      <c r="D43" s="26" t="s">
        <v>17</v>
      </c>
      <c r="E43" s="27">
        <f>16*2.05*8.4</f>
        <v>275.52</v>
      </c>
      <c r="F43" s="41">
        <v>0</v>
      </c>
      <c r="G43" s="30">
        <f t="shared" si="7"/>
        <v>0</v>
      </c>
      <c r="H43" s="27">
        <f t="shared" si="8"/>
        <v>0</v>
      </c>
      <c r="I43" s="27">
        <f t="shared" ca="1" si="9"/>
        <v>0</v>
      </c>
      <c r="J43" s="27">
        <f ca="1">ROUND(I43/5,0)</f>
        <v>0</v>
      </c>
      <c r="K43" s="38"/>
      <c r="L43" s="38"/>
    </row>
    <row r="44" spans="1:12" s="39" customFormat="1" ht="18.5" x14ac:dyDescent="0.35">
      <c r="A44" s="40" t="s">
        <v>40</v>
      </c>
      <c r="B44" s="25">
        <f>C43+1</f>
        <v>46366</v>
      </c>
      <c r="C44" s="25">
        <f>B44+5</f>
        <v>46371</v>
      </c>
      <c r="D44" s="26" t="s">
        <v>17</v>
      </c>
      <c r="E44" s="27">
        <v>435</v>
      </c>
      <c r="F44" s="41">
        <v>0</v>
      </c>
      <c r="G44" s="30">
        <f t="shared" si="7"/>
        <v>0</v>
      </c>
      <c r="H44" s="27">
        <f t="shared" si="8"/>
        <v>0</v>
      </c>
      <c r="I44" s="27">
        <f t="shared" ca="1" si="9"/>
        <v>0</v>
      </c>
      <c r="J44" s="27">
        <f ca="1">ROUND(I44/10,0)</f>
        <v>0</v>
      </c>
      <c r="K44" s="38"/>
      <c r="L44" s="38"/>
    </row>
    <row r="45" spans="1:12" s="43" customFormat="1" ht="23.5" x14ac:dyDescent="0.55000000000000004">
      <c r="A45" s="32" t="s">
        <v>45</v>
      </c>
      <c r="B45" s="33"/>
      <c r="C45" s="33"/>
      <c r="D45" s="34"/>
      <c r="E45" s="35"/>
      <c r="F45" s="36"/>
      <c r="G45" s="36"/>
      <c r="H45" s="35"/>
      <c r="I45" s="35"/>
      <c r="J45" s="35"/>
      <c r="K45" s="35"/>
      <c r="L45" s="35"/>
    </row>
    <row r="46" spans="1:12" s="43" customFormat="1" ht="23.5" x14ac:dyDescent="0.55000000000000004">
      <c r="A46" s="32" t="s">
        <v>46</v>
      </c>
      <c r="B46" s="33"/>
      <c r="C46" s="33"/>
      <c r="D46" s="34"/>
      <c r="E46" s="35"/>
      <c r="F46" s="36"/>
      <c r="G46" s="36"/>
      <c r="H46" s="35"/>
      <c r="I46" s="35"/>
      <c r="J46" s="35"/>
      <c r="K46" s="35"/>
      <c r="L46" s="35"/>
    </row>
    <row r="47" spans="1:12" s="39" customFormat="1" ht="18.5" x14ac:dyDescent="0.35">
      <c r="A47" s="29" t="s">
        <v>47</v>
      </c>
      <c r="B47" s="25">
        <v>46093</v>
      </c>
      <c r="C47" s="25">
        <v>46315</v>
      </c>
      <c r="D47" s="44" t="s">
        <v>30</v>
      </c>
      <c r="E47" s="27">
        <v>1500</v>
      </c>
      <c r="F47" s="27">
        <v>1451</v>
      </c>
      <c r="G47" s="30">
        <f t="shared" ref="G47:G53" si="10">F47/E47</f>
        <v>0.96733333333333338</v>
      </c>
      <c r="H47" s="27">
        <f t="shared" ref="H47:H53" si="11">(E47-F47)*G47</f>
        <v>47.399333333333338</v>
      </c>
      <c r="I47" s="27">
        <f t="shared" ref="I47:I53" ca="1" si="12">H47/(C47-(IF(B47&gt;TODAY(),B47,TODAY())))</f>
        <v>4.739933333333334</v>
      </c>
      <c r="J47" s="38">
        <f ca="1">ROUND(I47/4,0)</f>
        <v>1</v>
      </c>
      <c r="K47" s="38">
        <v>2</v>
      </c>
      <c r="L47" s="38"/>
    </row>
    <row r="48" spans="1:12" s="39" customFormat="1" ht="18.5" x14ac:dyDescent="0.35">
      <c r="A48" s="29" t="s">
        <v>48</v>
      </c>
      <c r="B48" s="25">
        <v>46050</v>
      </c>
      <c r="C48" s="25">
        <v>46326</v>
      </c>
      <c r="D48" s="44" t="s">
        <v>30</v>
      </c>
      <c r="E48" s="27">
        <f>9830+3200</f>
        <v>13030</v>
      </c>
      <c r="F48" s="27">
        <v>10956</v>
      </c>
      <c r="G48" s="30">
        <f t="shared" si="10"/>
        <v>0.84082885648503458</v>
      </c>
      <c r="H48" s="27">
        <f t="shared" si="11"/>
        <v>1743.8790483499617</v>
      </c>
      <c r="I48" s="27">
        <f t="shared" ca="1" si="12"/>
        <v>83.04185944523627</v>
      </c>
      <c r="J48" s="38">
        <f ca="1">ROUND(I48/12,0)</f>
        <v>7</v>
      </c>
      <c r="K48" s="38">
        <v>4</v>
      </c>
      <c r="L48" s="38"/>
    </row>
    <row r="49" spans="1:12" s="39" customFormat="1" ht="18.5" x14ac:dyDescent="0.35">
      <c r="A49" s="29" t="s">
        <v>49</v>
      </c>
      <c r="B49" s="25">
        <v>46002</v>
      </c>
      <c r="C49" s="25">
        <v>46322</v>
      </c>
      <c r="D49" s="44" t="s">
        <v>17</v>
      </c>
      <c r="E49" s="27">
        <f>7203</f>
        <v>7203</v>
      </c>
      <c r="F49" s="27">
        <v>6880</v>
      </c>
      <c r="G49" s="30">
        <f t="shared" si="10"/>
        <v>0.95515757323337502</v>
      </c>
      <c r="H49" s="27">
        <f t="shared" si="11"/>
        <v>308.51589615438013</v>
      </c>
      <c r="I49" s="27">
        <f t="shared" ca="1" si="12"/>
        <v>18.147993891434126</v>
      </c>
      <c r="J49" s="38">
        <f ca="1">ROUND(I49/10,0)</f>
        <v>2</v>
      </c>
      <c r="K49" s="38">
        <v>4</v>
      </c>
      <c r="L49" s="38"/>
    </row>
    <row r="50" spans="1:12" s="39" customFormat="1" ht="18.5" x14ac:dyDescent="0.35">
      <c r="A50" s="29" t="s">
        <v>50</v>
      </c>
      <c r="B50" s="25">
        <v>46032</v>
      </c>
      <c r="C50" s="25">
        <v>46320</v>
      </c>
      <c r="D50" s="44" t="s">
        <v>17</v>
      </c>
      <c r="E50" s="27">
        <v>9363</v>
      </c>
      <c r="F50" s="27">
        <v>8880</v>
      </c>
      <c r="G50" s="30">
        <f t="shared" si="10"/>
        <v>0.94841396988144822</v>
      </c>
      <c r="H50" s="27">
        <f t="shared" si="11"/>
        <v>458.08394745273949</v>
      </c>
      <c r="I50" s="27">
        <f t="shared" ca="1" si="12"/>
        <v>30.538929830182632</v>
      </c>
      <c r="J50" s="38">
        <f ca="1">ROUND(I50/12,0)</f>
        <v>3</v>
      </c>
      <c r="K50" s="38">
        <v>6</v>
      </c>
      <c r="L50" s="38"/>
    </row>
    <row r="51" spans="1:12" s="39" customFormat="1" ht="18.5" x14ac:dyDescent="0.35">
      <c r="A51" s="29" t="s">
        <v>51</v>
      </c>
      <c r="B51" s="25">
        <v>46275</v>
      </c>
      <c r="C51" s="25">
        <v>46351</v>
      </c>
      <c r="D51" s="44" t="s">
        <v>30</v>
      </c>
      <c r="E51" s="27">
        <f>890+1480+1598+1190</f>
        <v>5158</v>
      </c>
      <c r="F51" s="27">
        <v>421</v>
      </c>
      <c r="G51" s="30">
        <f t="shared" si="10"/>
        <v>8.1620783249321441E-2</v>
      </c>
      <c r="H51" s="27">
        <f t="shared" si="11"/>
        <v>386.63765025203566</v>
      </c>
      <c r="I51" s="27">
        <f t="shared" ca="1" si="12"/>
        <v>8.4051663098268623</v>
      </c>
      <c r="J51" s="38">
        <f ca="1">ROUND(I51/9,0)</f>
        <v>1</v>
      </c>
      <c r="K51" s="38">
        <v>0</v>
      </c>
      <c r="L51" s="38"/>
    </row>
    <row r="52" spans="1:12" s="39" customFormat="1" ht="18.5" x14ac:dyDescent="0.35">
      <c r="A52" s="29" t="s">
        <v>52</v>
      </c>
      <c r="B52" s="25">
        <v>46275</v>
      </c>
      <c r="C52" s="25">
        <v>46341</v>
      </c>
      <c r="D52" s="44" t="s">
        <v>30</v>
      </c>
      <c r="E52" s="27">
        <v>630</v>
      </c>
      <c r="F52" s="27">
        <v>466.2</v>
      </c>
      <c r="G52" s="30">
        <f t="shared" si="10"/>
        <v>0.74</v>
      </c>
      <c r="H52" s="27">
        <f t="shared" si="11"/>
        <v>121.212</v>
      </c>
      <c r="I52" s="27">
        <f t="shared" ca="1" si="12"/>
        <v>3.367</v>
      </c>
      <c r="J52" s="38">
        <f ca="1">ROUND(I52/9,0)</f>
        <v>0</v>
      </c>
      <c r="K52" s="38">
        <v>2</v>
      </c>
      <c r="L52" s="38"/>
    </row>
    <row r="53" spans="1:12" s="39" customFormat="1" ht="18.5" x14ac:dyDescent="0.35">
      <c r="A53" s="29" t="s">
        <v>53</v>
      </c>
      <c r="B53" s="25">
        <v>46295</v>
      </c>
      <c r="C53" s="25">
        <v>46323</v>
      </c>
      <c r="D53" s="44" t="s">
        <v>17</v>
      </c>
      <c r="E53" s="27">
        <v>3426</v>
      </c>
      <c r="F53" s="27">
        <v>685.2</v>
      </c>
      <c r="G53" s="30">
        <f t="shared" si="10"/>
        <v>0.2</v>
      </c>
      <c r="H53" s="27">
        <f t="shared" si="11"/>
        <v>548.16000000000008</v>
      </c>
      <c r="I53" s="27">
        <f t="shared" ca="1" si="12"/>
        <v>30.453333333333337</v>
      </c>
      <c r="J53" s="38">
        <f ca="1">ROUND(I53/10,0)</f>
        <v>3</v>
      </c>
      <c r="K53" s="38">
        <v>6</v>
      </c>
      <c r="L53" s="38"/>
    </row>
    <row r="54" spans="1:12" s="43" customFormat="1" ht="23.5" x14ac:dyDescent="0.55000000000000004">
      <c r="A54" s="32" t="s">
        <v>54</v>
      </c>
      <c r="B54" s="33"/>
      <c r="C54" s="33"/>
      <c r="D54" s="34"/>
      <c r="E54" s="35"/>
      <c r="F54" s="36"/>
      <c r="G54" s="36"/>
      <c r="H54" s="35"/>
      <c r="I54" s="35"/>
      <c r="J54" s="35"/>
      <c r="K54" s="35"/>
      <c r="L54" s="35"/>
    </row>
    <row r="55" spans="1:12" s="39" customFormat="1" ht="18.5" x14ac:dyDescent="0.35">
      <c r="A55" s="29" t="s">
        <v>55</v>
      </c>
      <c r="B55" s="25">
        <v>46252</v>
      </c>
      <c r="C55" s="25">
        <v>46346</v>
      </c>
      <c r="D55" s="44" t="s">
        <v>30</v>
      </c>
      <c r="E55" s="27">
        <v>46027</v>
      </c>
      <c r="F55" s="27">
        <v>23692.959999999999</v>
      </c>
      <c r="G55" s="30">
        <f t="shared" ref="G55:G65" si="13">F55/E55</f>
        <v>0.51476220479283896</v>
      </c>
      <c r="H55" s="27">
        <f t="shared" ref="H55:H65" si="14">(E55-F55)*G55</f>
        <v>11496.719672331457</v>
      </c>
      <c r="I55" s="27">
        <f t="shared" ref="I55:I65" ca="1" si="15">H55/(C55-(IF(B55&gt;TODAY(),B55,TODAY())))</f>
        <v>280.4077968861331</v>
      </c>
      <c r="J55" s="38">
        <f ca="1">ROUND(I55/25,0)</f>
        <v>11</v>
      </c>
      <c r="K55" s="38">
        <v>16</v>
      </c>
      <c r="L55" s="38"/>
    </row>
    <row r="56" spans="1:12" s="39" customFormat="1" ht="18.5" x14ac:dyDescent="0.35">
      <c r="A56" s="29" t="s">
        <v>56</v>
      </c>
      <c r="B56" s="25">
        <v>46213</v>
      </c>
      <c r="C56" s="25">
        <v>46354</v>
      </c>
      <c r="D56" s="44" t="s">
        <v>30</v>
      </c>
      <c r="E56" s="27">
        <v>16308</v>
      </c>
      <c r="F56" s="27">
        <v>8643.2400000000016</v>
      </c>
      <c r="G56" s="30">
        <f t="shared" si="13"/>
        <v>0.53000000000000014</v>
      </c>
      <c r="H56" s="27">
        <f t="shared" si="14"/>
        <v>4062.3228000000004</v>
      </c>
      <c r="I56" s="27">
        <f t="shared" ca="1" si="15"/>
        <v>82.904546938775525</v>
      </c>
      <c r="J56" s="38">
        <f ca="1">ROUND(I56/25,0)</f>
        <v>3</v>
      </c>
      <c r="K56" s="38">
        <v>4</v>
      </c>
      <c r="L56" s="38"/>
    </row>
    <row r="57" spans="1:12" s="39" customFormat="1" ht="18.5" x14ac:dyDescent="0.35">
      <c r="A57" s="29" t="s">
        <v>57</v>
      </c>
      <c r="B57" s="25">
        <v>46300</v>
      </c>
      <c r="C57" s="25">
        <v>46326</v>
      </c>
      <c r="D57" s="44" t="s">
        <v>19</v>
      </c>
      <c r="E57" s="27">
        <v>4</v>
      </c>
      <c r="F57" s="27">
        <v>3.6</v>
      </c>
      <c r="G57" s="30">
        <f t="shared" si="13"/>
        <v>0.9</v>
      </c>
      <c r="H57" s="27">
        <f t="shared" si="14"/>
        <v>0.35999999999999993</v>
      </c>
      <c r="I57" s="27">
        <f t="shared" ca="1" si="15"/>
        <v>1.714285714285714E-2</v>
      </c>
      <c r="J57" s="38">
        <f ca="1">ROUND(I57/2,0)</f>
        <v>0</v>
      </c>
      <c r="K57" s="38">
        <v>0</v>
      </c>
      <c r="L57" s="38"/>
    </row>
    <row r="58" spans="1:12" s="39" customFormat="1" ht="18.5" x14ac:dyDescent="0.35">
      <c r="A58" s="29" t="s">
        <v>58</v>
      </c>
      <c r="B58" s="25">
        <v>46313</v>
      </c>
      <c r="C58" s="25">
        <v>46366</v>
      </c>
      <c r="D58" s="44" t="s">
        <v>19</v>
      </c>
      <c r="E58" s="27">
        <v>1517</v>
      </c>
      <c r="F58" s="27">
        <v>174</v>
      </c>
      <c r="G58" s="30">
        <f t="shared" si="13"/>
        <v>0.11470006591957811</v>
      </c>
      <c r="H58" s="27">
        <f t="shared" si="14"/>
        <v>154.04218852999341</v>
      </c>
      <c r="I58" s="27">
        <f t="shared" ca="1" si="15"/>
        <v>2.9064563873583662</v>
      </c>
      <c r="J58" s="38">
        <f ca="1">ROUND(I58/12,0)</f>
        <v>0</v>
      </c>
      <c r="K58" s="38">
        <v>0</v>
      </c>
      <c r="L58" s="38"/>
    </row>
    <row r="59" spans="1:12" s="39" customFormat="1" ht="18.5" x14ac:dyDescent="0.35">
      <c r="A59" s="29" t="s">
        <v>59</v>
      </c>
      <c r="B59" s="25">
        <v>46244</v>
      </c>
      <c r="C59" s="25">
        <v>46336</v>
      </c>
      <c r="D59" s="44" t="s">
        <v>30</v>
      </c>
      <c r="E59" s="27">
        <v>2800</v>
      </c>
      <c r="F59" s="27">
        <v>2735</v>
      </c>
      <c r="G59" s="30">
        <f t="shared" si="13"/>
        <v>0.97678571428571426</v>
      </c>
      <c r="H59" s="27">
        <f t="shared" si="14"/>
        <v>63.491071428571423</v>
      </c>
      <c r="I59" s="27">
        <f t="shared" ca="1" si="15"/>
        <v>2.0480990783410138</v>
      </c>
      <c r="J59" s="38">
        <f ca="1">ROUND(I59/5,0)</f>
        <v>0</v>
      </c>
      <c r="K59" s="38">
        <v>0</v>
      </c>
      <c r="L59" s="38"/>
    </row>
    <row r="60" spans="1:12" s="39" customFormat="1" ht="18.5" x14ac:dyDescent="0.35">
      <c r="A60" s="24" t="s">
        <v>60</v>
      </c>
      <c r="B60" s="25">
        <v>46253</v>
      </c>
      <c r="C60" s="25">
        <v>46354</v>
      </c>
      <c r="D60" s="44" t="s">
        <v>19</v>
      </c>
      <c r="E60" s="27">
        <v>45</v>
      </c>
      <c r="F60" s="27">
        <v>43</v>
      </c>
      <c r="G60" s="30">
        <f t="shared" si="13"/>
        <v>0.9555555555555556</v>
      </c>
      <c r="H60" s="27">
        <f t="shared" si="14"/>
        <v>1.9111111111111112</v>
      </c>
      <c r="I60" s="27">
        <f t="shared" ca="1" si="15"/>
        <v>3.9002267573696146E-2</v>
      </c>
      <c r="J60" s="38">
        <f t="shared" ref="J60:J65" ca="1" si="16">ROUND(I60/3,0)</f>
        <v>0</v>
      </c>
      <c r="K60" s="38">
        <v>4</v>
      </c>
      <c r="L60" s="38"/>
    </row>
    <row r="61" spans="1:12" s="39" customFormat="1" ht="18.5" x14ac:dyDescent="0.35">
      <c r="A61" s="29" t="s">
        <v>61</v>
      </c>
      <c r="B61" s="25">
        <v>46244</v>
      </c>
      <c r="C61" s="25">
        <f>VLOOKUP(A61,[1]OPD!$B$54:$D$76,3,FALSE)</f>
        <v>46341</v>
      </c>
      <c r="D61" s="44" t="s">
        <v>30</v>
      </c>
      <c r="E61" s="27">
        <v>65000</v>
      </c>
      <c r="F61" s="27">
        <v>20795</v>
      </c>
      <c r="G61" s="30">
        <f t="shared" si="13"/>
        <v>0.31992307692307692</v>
      </c>
      <c r="H61" s="27">
        <f t="shared" si="14"/>
        <v>14142.199615384616</v>
      </c>
      <c r="I61" s="27">
        <f t="shared" ca="1" si="15"/>
        <v>392.8388782051282</v>
      </c>
      <c r="J61" s="38">
        <f ca="1">ROUND(I61/60,0)</f>
        <v>7</v>
      </c>
      <c r="K61" s="38">
        <v>8</v>
      </c>
      <c r="L61" s="38"/>
    </row>
    <row r="62" spans="1:12" s="39" customFormat="1" ht="18.5" x14ac:dyDescent="0.35">
      <c r="A62" s="29" t="s">
        <v>62</v>
      </c>
      <c r="B62" s="25">
        <v>46221</v>
      </c>
      <c r="C62" s="25">
        <v>46341</v>
      </c>
      <c r="D62" s="44" t="s">
        <v>30</v>
      </c>
      <c r="E62" s="27">
        <v>24107</v>
      </c>
      <c r="F62" s="27">
        <v>18928</v>
      </c>
      <c r="G62" s="30">
        <f t="shared" si="13"/>
        <v>0.785166134317833</v>
      </c>
      <c r="H62" s="27">
        <f t="shared" si="14"/>
        <v>4066.3754096320572</v>
      </c>
      <c r="I62" s="27">
        <f t="shared" ca="1" si="15"/>
        <v>112.95487248977936</v>
      </c>
      <c r="J62" s="38">
        <f ca="1">ROUND(I62/60,0)</f>
        <v>2</v>
      </c>
      <c r="K62" s="38">
        <v>4</v>
      </c>
      <c r="L62" s="38"/>
    </row>
    <row r="63" spans="1:12" s="39" customFormat="1" ht="18.5" x14ac:dyDescent="0.35">
      <c r="A63" s="29" t="s">
        <v>63</v>
      </c>
      <c r="B63" s="25">
        <v>46294</v>
      </c>
      <c r="C63" s="25">
        <v>46310</v>
      </c>
      <c r="D63" s="44" t="s">
        <v>19</v>
      </c>
      <c r="E63" s="27">
        <v>1</v>
      </c>
      <c r="F63" s="27">
        <v>0</v>
      </c>
      <c r="G63" s="30">
        <f t="shared" si="13"/>
        <v>0</v>
      </c>
      <c r="H63" s="27">
        <f t="shared" si="14"/>
        <v>0</v>
      </c>
      <c r="I63" s="27">
        <f t="shared" ca="1" si="15"/>
        <v>0</v>
      </c>
      <c r="J63" s="38">
        <f t="shared" ca="1" si="16"/>
        <v>0</v>
      </c>
      <c r="K63" s="38">
        <v>0</v>
      </c>
      <c r="L63" s="38"/>
    </row>
    <row r="64" spans="1:12" s="39" customFormat="1" ht="18.5" x14ac:dyDescent="0.35">
      <c r="A64" s="29" t="s">
        <v>64</v>
      </c>
      <c r="B64" s="25">
        <v>46294</v>
      </c>
      <c r="C64" s="25">
        <v>46346</v>
      </c>
      <c r="D64" s="44" t="s">
        <v>19</v>
      </c>
      <c r="E64" s="27">
        <v>12</v>
      </c>
      <c r="F64" s="27">
        <v>6</v>
      </c>
      <c r="G64" s="30">
        <f t="shared" si="13"/>
        <v>0.5</v>
      </c>
      <c r="H64" s="27">
        <f t="shared" si="14"/>
        <v>3</v>
      </c>
      <c r="I64" s="27">
        <f t="shared" ca="1" si="15"/>
        <v>7.3170731707317069E-2</v>
      </c>
      <c r="J64" s="38">
        <f t="shared" ca="1" si="16"/>
        <v>0</v>
      </c>
      <c r="K64" s="38">
        <v>4</v>
      </c>
      <c r="L64" s="38"/>
    </row>
    <row r="65" spans="1:12" s="39" customFormat="1" ht="18.5" x14ac:dyDescent="0.35">
      <c r="A65" s="29" t="s">
        <v>65</v>
      </c>
      <c r="B65" s="25">
        <v>46346</v>
      </c>
      <c r="C65" s="25">
        <v>46376</v>
      </c>
      <c r="D65" s="44" t="s">
        <v>66</v>
      </c>
      <c r="E65" s="27">
        <v>1</v>
      </c>
      <c r="F65" s="27">
        <v>0.05</v>
      </c>
      <c r="G65" s="30">
        <f t="shared" si="13"/>
        <v>0.05</v>
      </c>
      <c r="H65" s="27">
        <f t="shared" si="14"/>
        <v>4.7500000000000001E-2</v>
      </c>
      <c r="I65" s="27">
        <f t="shared" ca="1" si="15"/>
        <v>1.5833333333333333E-3</v>
      </c>
      <c r="J65" s="38">
        <f t="shared" ca="1" si="16"/>
        <v>0</v>
      </c>
      <c r="K65" s="38">
        <v>0</v>
      </c>
      <c r="L65" s="38"/>
    </row>
    <row r="66" spans="1:12" s="39" customFormat="1" ht="23" x14ac:dyDescent="0.35">
      <c r="A66" s="19" t="s">
        <v>67</v>
      </c>
      <c r="B66" s="20"/>
      <c r="C66" s="20"/>
      <c r="D66" s="21"/>
      <c r="E66" s="22"/>
      <c r="F66" s="23"/>
      <c r="G66" s="23"/>
      <c r="H66" s="22"/>
      <c r="I66" s="22"/>
      <c r="J66" s="22"/>
      <c r="K66" s="22"/>
      <c r="L66" s="22"/>
    </row>
    <row r="67" spans="1:12" s="39" customFormat="1" ht="18.5" x14ac:dyDescent="0.35">
      <c r="A67" s="29" t="s">
        <v>68</v>
      </c>
      <c r="B67" s="25">
        <v>46305</v>
      </c>
      <c r="C67" s="25">
        <v>46341</v>
      </c>
      <c r="D67" s="44" t="s">
        <v>69</v>
      </c>
      <c r="E67" s="27">
        <v>2250</v>
      </c>
      <c r="F67" s="38">
        <v>202.5</v>
      </c>
      <c r="G67" s="30">
        <f t="shared" ref="G67:G71" si="17">F67/E67</f>
        <v>0.09</v>
      </c>
      <c r="H67" s="27">
        <f t="shared" ref="H67:H71" si="18">(E67-F67)*G67</f>
        <v>184.27500000000001</v>
      </c>
      <c r="I67" s="27">
        <f t="shared" ref="I67:I71" ca="1" si="19">H67/(C67-(IF(B67&gt;TODAY(),B67,TODAY())))</f>
        <v>5.1187500000000004</v>
      </c>
      <c r="J67" s="38">
        <f ca="1">ROUND(I67/10,0)</f>
        <v>1</v>
      </c>
      <c r="K67" s="38">
        <v>7</v>
      </c>
      <c r="L67" s="38"/>
    </row>
    <row r="68" spans="1:12" s="39" customFormat="1" ht="18.5" x14ac:dyDescent="0.35">
      <c r="A68" s="29" t="s">
        <v>70</v>
      </c>
      <c r="B68" s="25">
        <v>46331</v>
      </c>
      <c r="C68" s="25">
        <v>46366</v>
      </c>
      <c r="D68" s="44" t="s">
        <v>19</v>
      </c>
      <c r="E68" s="27">
        <v>128</v>
      </c>
      <c r="F68" s="41">
        <v>0</v>
      </c>
      <c r="G68" s="30">
        <f t="shared" si="17"/>
        <v>0</v>
      </c>
      <c r="H68" s="27">
        <f t="shared" si="18"/>
        <v>0</v>
      </c>
      <c r="I68" s="27">
        <f t="shared" ca="1" si="19"/>
        <v>0</v>
      </c>
      <c r="J68" s="38">
        <f t="shared" ref="J68:J70" ca="1" si="20">ROUND(I68/3,0)</f>
        <v>0</v>
      </c>
      <c r="K68" s="38">
        <v>0</v>
      </c>
      <c r="L68" s="38"/>
    </row>
    <row r="69" spans="1:12" s="39" customFormat="1" ht="18.5" x14ac:dyDescent="0.35">
      <c r="A69" s="29" t="s">
        <v>71</v>
      </c>
      <c r="B69" s="25">
        <v>46256</v>
      </c>
      <c r="C69" s="25">
        <v>46351</v>
      </c>
      <c r="D69" s="26" t="s">
        <v>19</v>
      </c>
      <c r="E69" s="27">
        <v>1</v>
      </c>
      <c r="F69" s="38">
        <v>0.75</v>
      </c>
      <c r="G69" s="30">
        <f t="shared" si="17"/>
        <v>0.75</v>
      </c>
      <c r="H69" s="27">
        <f t="shared" si="18"/>
        <v>0.1875</v>
      </c>
      <c r="I69" s="27">
        <f t="shared" ca="1" si="19"/>
        <v>4.076086956521739E-3</v>
      </c>
      <c r="J69" s="38">
        <f t="shared" ca="1" si="20"/>
        <v>0</v>
      </c>
      <c r="K69" s="38">
        <v>0</v>
      </c>
      <c r="L69" s="38"/>
    </row>
    <row r="70" spans="1:12" s="39" customFormat="1" ht="18.5" x14ac:dyDescent="0.35">
      <c r="A70" s="29" t="s">
        <v>72</v>
      </c>
      <c r="B70" s="25">
        <v>46239</v>
      </c>
      <c r="C70" s="25">
        <v>46361</v>
      </c>
      <c r="D70" s="26" t="s">
        <v>17</v>
      </c>
      <c r="E70" s="27">
        <v>3528</v>
      </c>
      <c r="F70" s="41">
        <v>3528</v>
      </c>
      <c r="G70" s="30">
        <f t="shared" si="17"/>
        <v>1</v>
      </c>
      <c r="H70" s="27">
        <f t="shared" si="18"/>
        <v>0</v>
      </c>
      <c r="I70" s="27">
        <f t="shared" ca="1" si="19"/>
        <v>0</v>
      </c>
      <c r="J70" s="38">
        <f t="shared" ca="1" si="20"/>
        <v>0</v>
      </c>
      <c r="K70" s="38">
        <v>2</v>
      </c>
      <c r="L70" s="38"/>
    </row>
    <row r="71" spans="1:12" s="39" customFormat="1" ht="18.5" x14ac:dyDescent="0.35">
      <c r="A71" s="29" t="s">
        <v>73</v>
      </c>
      <c r="B71" s="25">
        <v>46295</v>
      </c>
      <c r="C71" s="25">
        <v>46326</v>
      </c>
      <c r="D71" s="26" t="s">
        <v>17</v>
      </c>
      <c r="E71" s="27">
        <f>29*35</f>
        <v>1015</v>
      </c>
      <c r="F71" s="38">
        <v>659.75</v>
      </c>
      <c r="G71" s="30">
        <f t="shared" si="17"/>
        <v>0.65</v>
      </c>
      <c r="H71" s="27">
        <f t="shared" si="18"/>
        <v>230.91249999999999</v>
      </c>
      <c r="I71" s="27">
        <f t="shared" ca="1" si="19"/>
        <v>10.995833333333334</v>
      </c>
      <c r="J71" s="38">
        <f ca="1">ROUND(I71/10,0)</f>
        <v>1</v>
      </c>
      <c r="K71" s="38">
        <v>2</v>
      </c>
      <c r="L71" s="38"/>
    </row>
    <row r="72" spans="1:12" s="39" customFormat="1" ht="22.5" x14ac:dyDescent="0.35">
      <c r="A72" s="45" t="s">
        <v>74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 s="39" customFormat="1" ht="18.5" x14ac:dyDescent="0.35">
      <c r="A73" s="29" t="s">
        <v>75</v>
      </c>
      <c r="B73" s="25">
        <v>46178</v>
      </c>
      <c r="C73" s="25">
        <v>46233</v>
      </c>
      <c r="D73" s="44" t="s">
        <v>19</v>
      </c>
      <c r="E73" s="27">
        <v>2</v>
      </c>
      <c r="F73" s="41">
        <v>2</v>
      </c>
      <c r="G73" s="30">
        <f t="shared" ref="G73:G76" si="21">F73/E73</f>
        <v>1</v>
      </c>
      <c r="H73" s="27">
        <f t="shared" ref="H73:H76" si="22">(E73-F73)*G73</f>
        <v>0</v>
      </c>
      <c r="I73" s="30">
        <f t="shared" ref="I73:I76" ca="1" si="23">H73/(C73-(IF(B73&gt;TODAY(),B73,TODAY())))</f>
        <v>0</v>
      </c>
      <c r="J73" s="27">
        <f t="shared" ref="J73:J76" ca="1" si="24">ROUND(I73/3,0)</f>
        <v>0</v>
      </c>
      <c r="K73" s="27">
        <v>0</v>
      </c>
      <c r="L73" s="27"/>
    </row>
    <row r="74" spans="1:12" s="39" customFormat="1" ht="18.5" x14ac:dyDescent="0.35">
      <c r="A74" s="29" t="s">
        <v>76</v>
      </c>
      <c r="B74" s="25">
        <v>46242</v>
      </c>
      <c r="C74" s="25">
        <v>46320</v>
      </c>
      <c r="D74" s="44" t="s">
        <v>19</v>
      </c>
      <c r="E74" s="27">
        <v>3</v>
      </c>
      <c r="F74" s="41">
        <v>3</v>
      </c>
      <c r="G74" s="30">
        <f t="shared" si="21"/>
        <v>1</v>
      </c>
      <c r="H74" s="27">
        <f t="shared" si="22"/>
        <v>0</v>
      </c>
      <c r="I74" s="30">
        <f t="shared" ca="1" si="23"/>
        <v>0</v>
      </c>
      <c r="J74" s="27">
        <f t="shared" ca="1" si="24"/>
        <v>0</v>
      </c>
      <c r="K74" s="27">
        <v>0</v>
      </c>
      <c r="L74" s="27"/>
    </row>
    <row r="75" spans="1:12" s="39" customFormat="1" ht="18.5" x14ac:dyDescent="0.35">
      <c r="A75" s="29" t="s">
        <v>77</v>
      </c>
      <c r="B75" s="25">
        <v>46306</v>
      </c>
      <c r="C75" s="25">
        <v>46354</v>
      </c>
      <c r="D75" s="44" t="s">
        <v>19</v>
      </c>
      <c r="E75" s="27">
        <v>1</v>
      </c>
      <c r="F75" s="41">
        <v>0.55000000000000004</v>
      </c>
      <c r="G75" s="30">
        <f t="shared" si="21"/>
        <v>0.55000000000000004</v>
      </c>
      <c r="H75" s="27">
        <f t="shared" si="22"/>
        <v>0.2475</v>
      </c>
      <c r="I75" s="30">
        <f t="shared" ca="1" si="23"/>
        <v>5.1562500000000002E-3</v>
      </c>
      <c r="J75" s="27">
        <f t="shared" ca="1" si="24"/>
        <v>0</v>
      </c>
      <c r="K75" s="27">
        <v>4</v>
      </c>
      <c r="L75" s="27"/>
    </row>
    <row r="76" spans="1:12" s="39" customFormat="1" ht="18.5" x14ac:dyDescent="0.35">
      <c r="A76" s="29" t="s">
        <v>77</v>
      </c>
      <c r="B76" s="25">
        <v>46341</v>
      </c>
      <c r="C76" s="25">
        <v>46366</v>
      </c>
      <c r="D76" s="44" t="s">
        <v>19</v>
      </c>
      <c r="E76" s="27">
        <v>1</v>
      </c>
      <c r="F76" s="41">
        <v>0</v>
      </c>
      <c r="G76" s="30">
        <f t="shared" si="21"/>
        <v>0</v>
      </c>
      <c r="H76" s="27">
        <f t="shared" si="22"/>
        <v>0</v>
      </c>
      <c r="I76" s="30">
        <f t="shared" ca="1" si="23"/>
        <v>0</v>
      </c>
      <c r="J76" s="27">
        <f t="shared" ca="1" si="24"/>
        <v>0</v>
      </c>
      <c r="K76" s="27">
        <v>2</v>
      </c>
      <c r="L76" s="27"/>
    </row>
    <row r="77" spans="1:12" s="39" customFormat="1" ht="23" x14ac:dyDescent="0.35">
      <c r="A77" s="19" t="s">
        <v>78</v>
      </c>
      <c r="B77" s="20"/>
      <c r="C77" s="20"/>
      <c r="D77" s="21"/>
      <c r="E77" s="22"/>
      <c r="F77" s="23"/>
      <c r="G77" s="23"/>
      <c r="H77" s="22"/>
      <c r="I77" s="22"/>
      <c r="J77" s="22"/>
      <c r="K77" s="22"/>
      <c r="L77" s="22"/>
    </row>
    <row r="78" spans="1:12" s="39" customFormat="1" ht="18.5" x14ac:dyDescent="0.35">
      <c r="A78" s="29" t="s">
        <v>79</v>
      </c>
      <c r="B78" s="25">
        <v>46294</v>
      </c>
      <c r="C78" s="25">
        <v>46315</v>
      </c>
      <c r="D78" s="44"/>
      <c r="E78" s="27"/>
      <c r="F78" s="41"/>
      <c r="G78" s="30"/>
      <c r="H78" s="27"/>
      <c r="I78" s="27"/>
      <c r="J78" s="27"/>
      <c r="K78" s="27"/>
      <c r="L78" s="27"/>
    </row>
    <row r="79" spans="1:12" s="39" customFormat="1" ht="18.5" x14ac:dyDescent="0.35">
      <c r="A79" s="29" t="s">
        <v>80</v>
      </c>
      <c r="B79" s="25">
        <v>46326</v>
      </c>
      <c r="C79" s="25">
        <v>46346</v>
      </c>
      <c r="D79" s="44"/>
      <c r="E79" s="27"/>
      <c r="F79" s="41"/>
      <c r="G79" s="30"/>
      <c r="H79" s="27"/>
      <c r="I79" s="27"/>
      <c r="J79" s="27"/>
      <c r="K79" s="27"/>
      <c r="L79" s="27"/>
    </row>
    <row r="80" spans="1:12" s="39" customFormat="1" ht="18.5" x14ac:dyDescent="0.35">
      <c r="A80" s="29" t="s">
        <v>81</v>
      </c>
      <c r="B80" s="25">
        <v>46323</v>
      </c>
      <c r="C80" s="25">
        <v>46351</v>
      </c>
      <c r="D80" s="44"/>
      <c r="E80" s="27"/>
      <c r="F80" s="41"/>
      <c r="G80" s="30"/>
      <c r="H80" s="27"/>
      <c r="I80" s="27"/>
      <c r="J80" s="27"/>
      <c r="K80" s="27"/>
      <c r="L80" s="27"/>
    </row>
    <row r="81" spans="1:12" s="39" customFormat="1" ht="23" x14ac:dyDescent="0.35">
      <c r="A81" s="19" t="s">
        <v>82</v>
      </c>
      <c r="B81" s="20"/>
      <c r="C81" s="20"/>
      <c r="D81" s="21"/>
      <c r="E81" s="22"/>
      <c r="F81" s="23"/>
      <c r="G81" s="23"/>
      <c r="H81" s="22"/>
      <c r="I81" s="22"/>
      <c r="J81" s="22"/>
      <c r="K81" s="22"/>
      <c r="L81" s="22"/>
    </row>
    <row r="82" spans="1:12" s="39" customFormat="1" ht="18.5" x14ac:dyDescent="0.35">
      <c r="A82" s="29" t="s">
        <v>83</v>
      </c>
      <c r="B82" s="25">
        <v>46357</v>
      </c>
      <c r="C82" s="25">
        <v>46380</v>
      </c>
      <c r="D82" s="44"/>
      <c r="E82" s="27"/>
      <c r="F82" s="30"/>
      <c r="G82" s="30"/>
      <c r="H82" s="27"/>
      <c r="I82" s="27"/>
      <c r="J82" s="27"/>
      <c r="K82" s="27"/>
      <c r="L82" s="27"/>
    </row>
    <row r="83" spans="1:12" ht="18.5" x14ac:dyDescent="0.35">
      <c r="A83" s="29" t="s">
        <v>84</v>
      </c>
      <c r="B83" s="25">
        <v>46351</v>
      </c>
      <c r="C83" s="25">
        <v>46376</v>
      </c>
      <c r="D83" s="44"/>
      <c r="E83" s="27"/>
      <c r="F83" s="30"/>
      <c r="G83" s="30"/>
      <c r="H83" s="27"/>
      <c r="I83" s="27"/>
      <c r="J83" s="27"/>
      <c r="K83" s="27"/>
      <c r="L83" s="27"/>
    </row>
    <row r="84" spans="1:12" ht="18.5" x14ac:dyDescent="0.35">
      <c r="A84" s="29" t="s">
        <v>85</v>
      </c>
      <c r="B84" s="25">
        <v>46361</v>
      </c>
      <c r="C84" s="25">
        <v>46380</v>
      </c>
      <c r="D84" s="44"/>
      <c r="E84" s="27"/>
      <c r="F84" s="30"/>
      <c r="G84" s="30"/>
      <c r="H84" s="27"/>
      <c r="I84" s="27"/>
      <c r="J84" s="27"/>
      <c r="K84" s="27"/>
      <c r="L84" s="27"/>
    </row>
    <row r="85" spans="1:12" ht="18.5" x14ac:dyDescent="0.35">
      <c r="A85" s="29" t="s">
        <v>86</v>
      </c>
      <c r="B85" s="25">
        <v>46346</v>
      </c>
      <c r="C85" s="25">
        <v>46376</v>
      </c>
      <c r="D85" s="44"/>
      <c r="E85" s="27"/>
      <c r="F85" s="30"/>
      <c r="G85" s="30"/>
      <c r="H85" s="27"/>
      <c r="I85" s="27"/>
      <c r="J85" s="27"/>
      <c r="K85" s="27"/>
      <c r="L85" s="27"/>
    </row>
    <row r="1048571" spans="9:9" ht="30" customHeight="1" x14ac:dyDescent="0.4">
      <c r="I1048571" s="27">
        <f ca="1">H1048571/(C1048571-TODAY())</f>
        <v>0</v>
      </c>
    </row>
  </sheetData>
  <mergeCells count="13">
    <mergeCell ref="A72:L72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dataValidations count="4">
    <dataValidation allowBlank="1" showInputMessage="1" showErrorMessage="1" prompt="Enter actual duration period in column F, starting with cell F5" sqref="C2:K3" xr:uid="{06C3D42B-831D-4C42-8348-F44944E1B4C5}"/>
    <dataValidation allowBlank="1" showInputMessage="1" showErrorMessage="1" prompt="Title of the project. Enter a new title in this cell. Highlight a period in H2. Chart legend is in J2 to AI2" sqref="A1" xr:uid="{5D8F4181-2BB1-4B52-92B2-CC71CDC890D8}"/>
    <dataValidation allowBlank="1" showInputMessage="1" showErrorMessage="1" prompt="Enter plan start period in column C, starting with cell C5" sqref="B2:B3" xr:uid="{F6236F30-DDE6-4A36-9E75-850B8CE57F46}"/>
    <dataValidation allowBlank="1" showInputMessage="1" showErrorMessage="1" prompt="Enter activity in column B, starting with cell B5_x000a_" sqref="A2:A3" xr:uid="{1E148600-DBB9-4A53-BC9B-53E876E4420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3DDC-5D37-4B38-92FA-6EB63F1EFA11}">
  <dimension ref="A1:O1048544"/>
  <sheetViews>
    <sheetView tabSelected="1" workbookViewId="0">
      <selection activeCell="S11" sqref="S11"/>
    </sheetView>
  </sheetViews>
  <sheetFormatPr defaultColWidth="3" defaultRowHeight="17" x14ac:dyDescent="0.4"/>
  <cols>
    <col min="1" max="1" width="37.90625" style="46" customWidth="1"/>
    <col min="2" max="2" width="16.7265625" style="39" customWidth="1"/>
    <col min="3" max="4" width="14.54296875" style="7" customWidth="1"/>
    <col min="5" max="5" width="14.54296875" style="48" customWidth="1"/>
    <col min="6" max="6" width="12.08984375" style="48" customWidth="1"/>
    <col min="7" max="7" width="12.08984375" style="49" customWidth="1"/>
    <col min="8" max="8" width="13.08984375" style="49" customWidth="1"/>
    <col min="9" max="11" width="14.54296875" style="48" customWidth="1"/>
    <col min="12" max="16384" width="3" style="7"/>
  </cols>
  <sheetData>
    <row r="1" spans="1:15" ht="30.75" customHeight="1" x14ac:dyDescent="0.45">
      <c r="A1" s="1" t="s">
        <v>87</v>
      </c>
      <c r="B1" s="50"/>
      <c r="C1" s="3"/>
      <c r="D1" s="3"/>
      <c r="E1" s="4"/>
      <c r="F1" s="4"/>
      <c r="G1" s="5"/>
      <c r="H1" s="5"/>
      <c r="I1" s="4"/>
      <c r="J1" s="4"/>
      <c r="K1" s="4"/>
      <c r="L1" s="51"/>
    </row>
    <row r="2" spans="1:15" ht="16" x14ac:dyDescent="0.35">
      <c r="A2" s="52"/>
      <c r="B2" s="53"/>
      <c r="C2" s="53"/>
      <c r="D2" s="53"/>
      <c r="E2" s="54"/>
      <c r="F2" s="54"/>
      <c r="G2" s="55"/>
      <c r="H2" s="55"/>
      <c r="I2" s="54"/>
      <c r="J2" s="54"/>
      <c r="K2" s="54"/>
      <c r="L2" s="51"/>
    </row>
    <row r="3" spans="1:15" s="14" customFormat="1" ht="16" customHeight="1" x14ac:dyDescent="0.35">
      <c r="A3" s="8" t="s">
        <v>1</v>
      </c>
      <c r="B3" s="10" t="s">
        <v>2</v>
      </c>
      <c r="C3" s="10" t="s">
        <v>88</v>
      </c>
      <c r="D3" s="10" t="s">
        <v>4</v>
      </c>
      <c r="E3" s="13" t="s">
        <v>89</v>
      </c>
      <c r="F3" s="11" t="s">
        <v>90</v>
      </c>
      <c r="G3" s="12" t="s">
        <v>7</v>
      </c>
      <c r="H3" s="12" t="s">
        <v>8</v>
      </c>
      <c r="I3" s="13" t="s">
        <v>9</v>
      </c>
      <c r="J3" s="13" t="s">
        <v>91</v>
      </c>
      <c r="K3" s="13" t="s">
        <v>92</v>
      </c>
    </row>
    <row r="4" spans="1:15" ht="38.15" customHeight="1" x14ac:dyDescent="0.35">
      <c r="A4" s="8"/>
      <c r="B4" s="10"/>
      <c r="C4" s="10"/>
      <c r="D4" s="10"/>
      <c r="E4" s="13"/>
      <c r="F4" s="17"/>
      <c r="G4" s="12"/>
      <c r="H4" s="12"/>
      <c r="I4" s="13"/>
      <c r="J4" s="13"/>
      <c r="K4" s="13"/>
    </row>
    <row r="5" spans="1:15" s="60" customFormat="1" ht="18.5" x14ac:dyDescent="0.35">
      <c r="A5" s="56" t="s">
        <v>13</v>
      </c>
      <c r="B5" s="57"/>
      <c r="C5" s="57"/>
      <c r="D5" s="57"/>
      <c r="E5" s="58"/>
      <c r="F5" s="58"/>
      <c r="G5" s="59"/>
      <c r="H5" s="59"/>
      <c r="I5" s="58"/>
      <c r="J5" s="58"/>
      <c r="K5" s="58"/>
    </row>
    <row r="6" spans="1:15" ht="18.5" x14ac:dyDescent="0.35">
      <c r="A6" s="29" t="s">
        <v>14</v>
      </c>
      <c r="B6" s="44">
        <v>45938</v>
      </c>
      <c r="C6" s="44">
        <v>46320</v>
      </c>
      <c r="D6" s="44" t="s">
        <v>93</v>
      </c>
      <c r="E6" s="27">
        <f>4931-703</f>
        <v>4228</v>
      </c>
      <c r="F6" s="27">
        <v>4101.16</v>
      </c>
      <c r="G6" s="28">
        <f>F6/E6</f>
        <v>0.97</v>
      </c>
      <c r="H6" s="27">
        <f>E6-F6</f>
        <v>126.84000000000015</v>
      </c>
      <c r="I6" s="27">
        <f ca="1">H6/(C6-(IF(B6&gt;TODAY(),B6,TODAY())))</f>
        <v>8.4560000000000102</v>
      </c>
      <c r="J6" s="27">
        <f ca="1">ROUND(I6/1,0)</f>
        <v>8</v>
      </c>
      <c r="K6" s="27">
        <v>8</v>
      </c>
    </row>
    <row r="7" spans="1:15" ht="18.5" x14ac:dyDescent="0.35">
      <c r="A7" s="29" t="s">
        <v>16</v>
      </c>
      <c r="B7" s="44">
        <v>46032</v>
      </c>
      <c r="C7" s="44">
        <v>46336</v>
      </c>
      <c r="D7" s="44" t="s">
        <v>17</v>
      </c>
      <c r="E7" s="27">
        <v>55280</v>
      </c>
      <c r="F7" s="27">
        <v>44989</v>
      </c>
      <c r="G7" s="28">
        <f t="shared" ref="G7:G16" si="0">F7/E7</f>
        <v>0.81383863965267733</v>
      </c>
      <c r="H7" s="27">
        <f>E7-F7</f>
        <v>10291</v>
      </c>
      <c r="I7" s="27">
        <f t="shared" ref="I7:I16" ca="1" si="1">H7/(C7-(IF(B7&gt;TODAY(),B7,TODAY())))</f>
        <v>331.96774193548384</v>
      </c>
      <c r="J7" s="27">
        <f ca="1">ROUND(I7/12,0)</f>
        <v>28</v>
      </c>
      <c r="K7" s="27">
        <v>30</v>
      </c>
    </row>
    <row r="8" spans="1:15" ht="18.5" x14ac:dyDescent="0.35">
      <c r="A8" s="29" t="s">
        <v>18</v>
      </c>
      <c r="B8" s="44">
        <v>46102</v>
      </c>
      <c r="C8" s="44">
        <v>46371</v>
      </c>
      <c r="D8" s="44" t="s">
        <v>19</v>
      </c>
      <c r="E8" s="27">
        <v>782</v>
      </c>
      <c r="F8" s="27">
        <v>445.73999999999995</v>
      </c>
      <c r="G8" s="28">
        <f t="shared" si="0"/>
        <v>0.56999999999999995</v>
      </c>
      <c r="H8" s="27">
        <f t="shared" ref="H8:H16" si="2">E8-F8</f>
        <v>336.26000000000005</v>
      </c>
      <c r="I8" s="27">
        <f t="shared" ca="1" si="1"/>
        <v>5.0948484848484856</v>
      </c>
      <c r="J8" s="27">
        <f ca="1">ROUND(I8/3,0)</f>
        <v>2</v>
      </c>
      <c r="K8" s="27">
        <v>0</v>
      </c>
    </row>
    <row r="9" spans="1:15" ht="18.5" x14ac:dyDescent="0.35">
      <c r="A9" s="29" t="s">
        <v>20</v>
      </c>
      <c r="B9" s="44">
        <v>46073</v>
      </c>
      <c r="C9" s="44">
        <f>VLOOKUP(A9,[2]EMR!$B$7:$D$131,3,FALSE)</f>
        <v>46356</v>
      </c>
      <c r="D9" s="44" t="s">
        <v>17</v>
      </c>
      <c r="E9" s="27">
        <f>17000+7221+1921</f>
        <v>26142</v>
      </c>
      <c r="F9" s="27">
        <v>21499.02</v>
      </c>
      <c r="G9" s="28">
        <f t="shared" si="0"/>
        <v>0.82239384897865508</v>
      </c>
      <c r="H9" s="27">
        <f t="shared" si="2"/>
        <v>4642.9799999999996</v>
      </c>
      <c r="I9" s="27">
        <f t="shared" ca="1" si="1"/>
        <v>91.038823529411758</v>
      </c>
      <c r="J9" s="27">
        <f ca="1">ROUND(I9/10,0)</f>
        <v>9</v>
      </c>
      <c r="K9" s="27">
        <v>12</v>
      </c>
    </row>
    <row r="10" spans="1:15" ht="18.5" x14ac:dyDescent="0.35">
      <c r="A10" s="29" t="s">
        <v>21</v>
      </c>
      <c r="B10" s="44">
        <v>46310</v>
      </c>
      <c r="C10" s="44">
        <v>46346</v>
      </c>
      <c r="D10" s="44" t="s">
        <v>17</v>
      </c>
      <c r="E10" s="27">
        <f>4152*1.5</f>
        <v>6228</v>
      </c>
      <c r="F10" s="27">
        <v>186.84</v>
      </c>
      <c r="G10" s="28">
        <f t="shared" si="0"/>
        <v>0.03</v>
      </c>
      <c r="H10" s="27">
        <f t="shared" si="2"/>
        <v>6041.16</v>
      </c>
      <c r="I10" s="27">
        <f t="shared" ca="1" si="1"/>
        <v>167.81</v>
      </c>
      <c r="J10" s="27">
        <f ca="1">ROUND(I10/12,0)</f>
        <v>14</v>
      </c>
      <c r="K10" s="27"/>
      <c r="L10" s="39"/>
      <c r="M10" s="39"/>
      <c r="N10" s="39"/>
      <c r="O10" s="39"/>
    </row>
    <row r="11" spans="1:15" ht="18.5" x14ac:dyDescent="0.35">
      <c r="A11" s="29" t="s">
        <v>22</v>
      </c>
      <c r="B11" s="44">
        <f>B10+10</f>
        <v>46320</v>
      </c>
      <c r="C11" s="44">
        <v>46336</v>
      </c>
      <c r="D11" s="44" t="s">
        <v>17</v>
      </c>
      <c r="E11" s="27">
        <f>3598*1.5</f>
        <v>5397</v>
      </c>
      <c r="F11" s="27">
        <v>0</v>
      </c>
      <c r="G11" s="28">
        <f t="shared" si="0"/>
        <v>0</v>
      </c>
      <c r="H11" s="27">
        <f t="shared" si="2"/>
        <v>5397</v>
      </c>
      <c r="I11" s="27">
        <f t="shared" ca="1" si="1"/>
        <v>337.3125</v>
      </c>
      <c r="J11" s="27">
        <f t="shared" ref="J11:J13" ca="1" si="3">ROUND(I11/12,0)</f>
        <v>28</v>
      </c>
      <c r="K11" s="27"/>
      <c r="L11" s="39"/>
      <c r="M11" s="39"/>
      <c r="N11" s="39"/>
      <c r="O11" s="39"/>
    </row>
    <row r="12" spans="1:15" ht="18.5" x14ac:dyDescent="0.35">
      <c r="A12" s="29" t="s">
        <v>23</v>
      </c>
      <c r="B12" s="44">
        <f>B11+10</f>
        <v>46330</v>
      </c>
      <c r="C12" s="44">
        <v>46351</v>
      </c>
      <c r="D12" s="44" t="s">
        <v>17</v>
      </c>
      <c r="E12" s="27">
        <f>3598*1.5</f>
        <v>5397</v>
      </c>
      <c r="F12" s="27">
        <v>0</v>
      </c>
      <c r="G12" s="28">
        <f t="shared" si="0"/>
        <v>0</v>
      </c>
      <c r="H12" s="27">
        <f t="shared" si="2"/>
        <v>5397</v>
      </c>
      <c r="I12" s="27">
        <f t="shared" ca="1" si="1"/>
        <v>257</v>
      </c>
      <c r="J12" s="27">
        <f t="shared" ca="1" si="3"/>
        <v>21</v>
      </c>
      <c r="K12" s="27"/>
      <c r="L12" s="39"/>
      <c r="M12" s="39"/>
      <c r="N12" s="39"/>
      <c r="O12" s="39"/>
    </row>
    <row r="13" spans="1:15" ht="18.5" x14ac:dyDescent="0.35">
      <c r="A13" s="29" t="s">
        <v>24</v>
      </c>
      <c r="B13" s="44">
        <f>B12+10</f>
        <v>46340</v>
      </c>
      <c r="C13" s="44">
        <v>46366</v>
      </c>
      <c r="D13" s="44" t="s">
        <v>17</v>
      </c>
      <c r="E13" s="27">
        <f>3715*1.5</f>
        <v>5572.5</v>
      </c>
      <c r="F13" s="27">
        <v>0</v>
      </c>
      <c r="G13" s="28">
        <f t="shared" si="0"/>
        <v>0</v>
      </c>
      <c r="H13" s="27">
        <f t="shared" si="2"/>
        <v>5572.5</v>
      </c>
      <c r="I13" s="27">
        <f t="shared" ca="1" si="1"/>
        <v>214.32692307692307</v>
      </c>
      <c r="J13" s="27">
        <f t="shared" ca="1" si="3"/>
        <v>18</v>
      </c>
      <c r="K13" s="27"/>
      <c r="L13" s="39"/>
      <c r="M13" s="39"/>
      <c r="N13" s="39"/>
      <c r="O13" s="39"/>
    </row>
    <row r="14" spans="1:15" ht="18.5" x14ac:dyDescent="0.35">
      <c r="A14" s="29" t="s">
        <v>94</v>
      </c>
      <c r="B14" s="44">
        <v>46315</v>
      </c>
      <c r="C14" s="44">
        <v>46376</v>
      </c>
      <c r="D14" s="44" t="s">
        <v>17</v>
      </c>
      <c r="E14" s="27">
        <v>290</v>
      </c>
      <c r="F14" s="27">
        <v>0</v>
      </c>
      <c r="G14" s="28">
        <f t="shared" si="0"/>
        <v>0</v>
      </c>
      <c r="H14" s="27">
        <f t="shared" si="2"/>
        <v>290</v>
      </c>
      <c r="I14" s="27">
        <f t="shared" ca="1" si="1"/>
        <v>4.7540983606557381</v>
      </c>
      <c r="J14" s="27">
        <f ca="1">ROUND(I14/5,0)</f>
        <v>1</v>
      </c>
      <c r="K14" s="27">
        <v>0</v>
      </c>
    </row>
    <row r="15" spans="1:15" ht="18.5" x14ac:dyDescent="0.35">
      <c r="A15" s="29" t="s">
        <v>27</v>
      </c>
      <c r="B15" s="44">
        <v>46344</v>
      </c>
      <c r="C15" s="44">
        <v>46374</v>
      </c>
      <c r="D15" s="44" t="s">
        <v>17</v>
      </c>
      <c r="E15" s="27">
        <v>530</v>
      </c>
      <c r="F15" s="27">
        <v>0</v>
      </c>
      <c r="G15" s="28">
        <f t="shared" si="0"/>
        <v>0</v>
      </c>
      <c r="H15" s="27">
        <f t="shared" si="2"/>
        <v>530</v>
      </c>
      <c r="I15" s="27">
        <f t="shared" ca="1" si="1"/>
        <v>17.666666666666668</v>
      </c>
      <c r="J15" s="27">
        <f ca="1">ROUND(I15/10,0)</f>
        <v>2</v>
      </c>
      <c r="K15" s="27">
        <v>0</v>
      </c>
    </row>
    <row r="16" spans="1:15" ht="18.5" x14ac:dyDescent="0.35">
      <c r="A16" s="29" t="s">
        <v>29</v>
      </c>
      <c r="B16" s="44">
        <v>46336</v>
      </c>
      <c r="C16" s="44">
        <v>46376</v>
      </c>
      <c r="D16" s="44" t="s">
        <v>30</v>
      </c>
      <c r="E16" s="27">
        <v>475</v>
      </c>
      <c r="F16" s="27">
        <v>0</v>
      </c>
      <c r="G16" s="28">
        <f t="shared" si="0"/>
        <v>0</v>
      </c>
      <c r="H16" s="27">
        <f t="shared" si="2"/>
        <v>475</v>
      </c>
      <c r="I16" s="27">
        <f t="shared" ca="1" si="1"/>
        <v>11.875</v>
      </c>
      <c r="J16" s="27">
        <f ca="1">ROUND(I16/10,0)</f>
        <v>1</v>
      </c>
      <c r="K16" s="27">
        <v>0</v>
      </c>
    </row>
    <row r="17" spans="1:11" ht="18" x14ac:dyDescent="0.35">
      <c r="A17" s="56" t="s">
        <v>95</v>
      </c>
      <c r="B17" s="57"/>
      <c r="C17" s="57"/>
      <c r="D17" s="57"/>
      <c r="E17" s="58"/>
      <c r="F17" s="58"/>
      <c r="G17" s="59"/>
      <c r="H17" s="59"/>
      <c r="I17" s="58"/>
      <c r="J17" s="58"/>
      <c r="K17" s="58"/>
    </row>
    <row r="18" spans="1:11" ht="18.5" x14ac:dyDescent="0.35">
      <c r="A18" s="29" t="s">
        <v>96</v>
      </c>
      <c r="B18" s="26"/>
      <c r="C18" s="26"/>
      <c r="D18" s="26"/>
      <c r="E18" s="27"/>
      <c r="F18" s="27"/>
      <c r="G18" s="30"/>
      <c r="H18" s="30"/>
      <c r="I18" s="27"/>
      <c r="J18" s="27"/>
      <c r="K18" s="27"/>
    </row>
    <row r="19" spans="1:11" ht="18.5" x14ac:dyDescent="0.35">
      <c r="A19" s="61" t="s">
        <v>97</v>
      </c>
      <c r="B19" s="44">
        <v>46167</v>
      </c>
      <c r="C19" s="44">
        <v>46262</v>
      </c>
      <c r="D19" s="44"/>
      <c r="E19" s="27"/>
      <c r="F19" s="27"/>
      <c r="G19" s="30">
        <v>1</v>
      </c>
      <c r="H19" s="30">
        <v>1</v>
      </c>
      <c r="I19" s="27"/>
      <c r="J19" s="27"/>
      <c r="K19" s="27"/>
    </row>
    <row r="20" spans="1:11" ht="18.5" x14ac:dyDescent="0.35">
      <c r="A20" s="61" t="s">
        <v>98</v>
      </c>
      <c r="B20" s="44">
        <v>46262</v>
      </c>
      <c r="C20" s="44">
        <v>46310</v>
      </c>
      <c r="D20" s="44"/>
      <c r="E20" s="27"/>
      <c r="F20" s="27"/>
      <c r="G20" s="30">
        <v>0.54</v>
      </c>
      <c r="H20" s="30">
        <f>100%-G20</f>
        <v>0.45999999999999996</v>
      </c>
      <c r="I20" s="27"/>
      <c r="J20" s="27">
        <v>4</v>
      </c>
      <c r="K20" s="27">
        <v>0</v>
      </c>
    </row>
    <row r="21" spans="1:11" ht="18.5" x14ac:dyDescent="0.35">
      <c r="A21" s="29" t="s">
        <v>99</v>
      </c>
      <c r="B21" s="44"/>
      <c r="C21" s="44"/>
      <c r="D21" s="44"/>
      <c r="E21" s="27"/>
      <c r="F21" s="27"/>
      <c r="G21" s="30"/>
      <c r="H21" s="30"/>
      <c r="I21" s="27"/>
      <c r="J21" s="27"/>
      <c r="K21" s="27"/>
    </row>
    <row r="22" spans="1:11" ht="18.5" x14ac:dyDescent="0.35">
      <c r="A22" s="61" t="s">
        <v>97</v>
      </c>
      <c r="B22" s="44">
        <v>46193</v>
      </c>
      <c r="C22" s="44">
        <v>46298</v>
      </c>
      <c r="D22" s="44"/>
      <c r="E22" s="27"/>
      <c r="F22" s="27"/>
      <c r="G22" s="30">
        <v>1</v>
      </c>
      <c r="H22" s="30">
        <f t="shared" ref="H22:H29" si="4">100%-G22</f>
        <v>0</v>
      </c>
      <c r="I22" s="27"/>
      <c r="J22" s="27">
        <v>8</v>
      </c>
      <c r="K22" s="27">
        <v>8</v>
      </c>
    </row>
    <row r="23" spans="1:11" ht="18.5" x14ac:dyDescent="0.35">
      <c r="A23" s="61" t="s">
        <v>98</v>
      </c>
      <c r="B23" s="44">
        <v>46298</v>
      </c>
      <c r="C23" s="44">
        <v>46325</v>
      </c>
      <c r="D23" s="44"/>
      <c r="E23" s="27"/>
      <c r="F23" s="27"/>
      <c r="G23" s="30">
        <v>0.12</v>
      </c>
      <c r="H23" s="30">
        <f t="shared" si="4"/>
        <v>0.88</v>
      </c>
      <c r="I23" s="27"/>
      <c r="J23" s="27"/>
      <c r="K23" s="27"/>
    </row>
    <row r="24" spans="1:11" ht="18.5" x14ac:dyDescent="0.35">
      <c r="A24" s="29" t="s">
        <v>100</v>
      </c>
      <c r="B24" s="44"/>
      <c r="C24" s="44"/>
      <c r="D24" s="44"/>
      <c r="E24" s="27"/>
      <c r="F24" s="27"/>
      <c r="G24" s="30"/>
      <c r="H24" s="30"/>
      <c r="I24" s="27"/>
      <c r="J24" s="27"/>
      <c r="K24" s="27"/>
    </row>
    <row r="25" spans="1:11" ht="18.5" x14ac:dyDescent="0.35">
      <c r="A25" s="61" t="s">
        <v>97</v>
      </c>
      <c r="B25" s="44">
        <v>46208</v>
      </c>
      <c r="C25" s="44">
        <v>46325</v>
      </c>
      <c r="D25" s="44"/>
      <c r="E25" s="27"/>
      <c r="F25" s="27"/>
      <c r="G25" s="30">
        <v>0.45</v>
      </c>
      <c r="H25" s="30">
        <f t="shared" si="4"/>
        <v>0.55000000000000004</v>
      </c>
      <c r="I25" s="27"/>
      <c r="J25" s="27">
        <v>10</v>
      </c>
      <c r="K25" s="27">
        <v>12</v>
      </c>
    </row>
    <row r="26" spans="1:11" ht="18.5" x14ac:dyDescent="0.35">
      <c r="A26" s="61" t="s">
        <v>98</v>
      </c>
      <c r="B26" s="44">
        <v>46325</v>
      </c>
      <c r="C26" s="44">
        <v>46377</v>
      </c>
      <c r="D26" s="44"/>
      <c r="E26" s="27"/>
      <c r="F26" s="27"/>
      <c r="G26" s="30">
        <v>0</v>
      </c>
      <c r="H26" s="30">
        <f t="shared" si="4"/>
        <v>1</v>
      </c>
      <c r="I26" s="27"/>
      <c r="J26" s="27"/>
      <c r="K26" s="27"/>
    </row>
    <row r="27" spans="1:11" ht="18" x14ac:dyDescent="0.35">
      <c r="A27" s="56" t="s">
        <v>101</v>
      </c>
      <c r="B27" s="57"/>
      <c r="C27" s="57"/>
      <c r="D27" s="57"/>
      <c r="E27" s="58"/>
      <c r="F27" s="58"/>
      <c r="G27" s="59"/>
      <c r="H27" s="59"/>
      <c r="I27" s="58"/>
      <c r="J27" s="58"/>
      <c r="K27" s="58"/>
    </row>
    <row r="28" spans="1:11" ht="18.5" x14ac:dyDescent="0.35">
      <c r="A28" s="61" t="s">
        <v>97</v>
      </c>
      <c r="B28" s="44">
        <v>46213</v>
      </c>
      <c r="C28" s="44">
        <v>46264</v>
      </c>
      <c r="D28" s="44"/>
      <c r="E28" s="27"/>
      <c r="F28" s="27"/>
      <c r="G28" s="30">
        <v>1</v>
      </c>
      <c r="H28" s="30">
        <f t="shared" si="4"/>
        <v>0</v>
      </c>
      <c r="I28" s="27" t="s">
        <v>102</v>
      </c>
      <c r="J28" s="27" t="s">
        <v>102</v>
      </c>
      <c r="K28" s="27"/>
    </row>
    <row r="29" spans="1:11" ht="18.5" x14ac:dyDescent="0.35">
      <c r="A29" s="61" t="s">
        <v>103</v>
      </c>
      <c r="B29" s="44">
        <v>46266</v>
      </c>
      <c r="C29" s="44">
        <v>46351</v>
      </c>
      <c r="D29" s="44"/>
      <c r="E29" s="27"/>
      <c r="F29" s="27"/>
      <c r="G29" s="30">
        <v>0.57999999999999996</v>
      </c>
      <c r="H29" s="30">
        <f t="shared" si="4"/>
        <v>0.42000000000000004</v>
      </c>
      <c r="I29" s="27"/>
      <c r="J29" s="27"/>
      <c r="K29" s="27"/>
    </row>
    <row r="30" spans="1:11" ht="18" x14ac:dyDescent="0.35">
      <c r="A30" s="56" t="s">
        <v>104</v>
      </c>
      <c r="B30" s="57"/>
      <c r="C30" s="57"/>
      <c r="D30" s="57"/>
      <c r="E30" s="58"/>
      <c r="F30" s="58"/>
      <c r="G30" s="59"/>
      <c r="H30" s="59"/>
      <c r="I30" s="58"/>
      <c r="J30" s="58"/>
      <c r="K30" s="58"/>
    </row>
    <row r="31" spans="1:11" ht="18.5" x14ac:dyDescent="0.35">
      <c r="A31" s="29" t="s">
        <v>105</v>
      </c>
      <c r="B31" s="44">
        <v>46280</v>
      </c>
      <c r="C31" s="44">
        <v>46325</v>
      </c>
      <c r="D31" s="44" t="s">
        <v>106</v>
      </c>
      <c r="E31" s="27">
        <v>340</v>
      </c>
      <c r="F31" s="27">
        <v>129.19999999999999</v>
      </c>
      <c r="G31" s="30">
        <f>F31/E31</f>
        <v>0.37999999999999995</v>
      </c>
      <c r="H31" s="38">
        <f>E31-F31</f>
        <v>210.8</v>
      </c>
      <c r="I31" s="27">
        <f t="shared" ref="I31:I40" ca="1" si="5">H31/(C31-(IF(B31&gt;TODAY(),B31,TODAY())))</f>
        <v>10.540000000000001</v>
      </c>
      <c r="J31" s="27">
        <f ca="1">ROUND(I31/4,0)</f>
        <v>3</v>
      </c>
      <c r="K31" s="27">
        <v>3</v>
      </c>
    </row>
    <row r="32" spans="1:11" ht="18.5" x14ac:dyDescent="0.35">
      <c r="A32" s="29" t="s">
        <v>71</v>
      </c>
      <c r="B32" s="44">
        <v>46290</v>
      </c>
      <c r="C32" s="44">
        <v>46327</v>
      </c>
      <c r="D32" s="44" t="s">
        <v>17</v>
      </c>
      <c r="E32" s="27">
        <v>350</v>
      </c>
      <c r="F32" s="27">
        <v>147</v>
      </c>
      <c r="G32" s="30">
        <f t="shared" ref="G32:G40" si="6">F32/E32</f>
        <v>0.42</v>
      </c>
      <c r="H32" s="38">
        <f>E32-F32</f>
        <v>203</v>
      </c>
      <c r="I32" s="27">
        <f t="shared" ca="1" si="5"/>
        <v>9.2272727272727266</v>
      </c>
      <c r="J32" s="27">
        <f ca="1">ROUND(I32/3,0)</f>
        <v>3</v>
      </c>
      <c r="K32" s="27">
        <v>4</v>
      </c>
    </row>
    <row r="33" spans="1:11" ht="18.5" x14ac:dyDescent="0.35">
      <c r="A33" s="29" t="s">
        <v>72</v>
      </c>
      <c r="B33" s="44">
        <v>46272</v>
      </c>
      <c r="C33" s="44">
        <v>46325</v>
      </c>
      <c r="D33" s="44" t="s">
        <v>17</v>
      </c>
      <c r="E33" s="27">
        <v>3754</v>
      </c>
      <c r="F33" s="27">
        <v>2552.7200000000003</v>
      </c>
      <c r="G33" s="30">
        <f t="shared" si="6"/>
        <v>0.68</v>
      </c>
      <c r="H33" s="38">
        <f>E33-F33</f>
        <v>1201.2799999999997</v>
      </c>
      <c r="I33" s="27">
        <f t="shared" ca="1" si="5"/>
        <v>60.063999999999986</v>
      </c>
      <c r="J33" s="27">
        <f ca="1">ROUND(I33/10,0)</f>
        <v>6</v>
      </c>
      <c r="K33" s="27">
        <v>3</v>
      </c>
    </row>
    <row r="34" spans="1:11" ht="18.5" x14ac:dyDescent="0.35">
      <c r="A34" s="29" t="s">
        <v>107</v>
      </c>
      <c r="B34" s="44">
        <v>46300</v>
      </c>
      <c r="C34" s="44">
        <v>46320</v>
      </c>
      <c r="D34" s="44" t="s">
        <v>17</v>
      </c>
      <c r="E34" s="27">
        <f>29*30.5</f>
        <v>884.5</v>
      </c>
      <c r="F34" s="27">
        <v>610.30499999999995</v>
      </c>
      <c r="G34" s="30">
        <f t="shared" si="6"/>
        <v>0.69</v>
      </c>
      <c r="H34" s="38">
        <f>E34-F34</f>
        <v>274.19500000000005</v>
      </c>
      <c r="I34" s="27">
        <f t="shared" ca="1" si="5"/>
        <v>18.279666666666671</v>
      </c>
      <c r="J34" s="27">
        <v>2</v>
      </c>
      <c r="K34" s="27">
        <v>0</v>
      </c>
    </row>
    <row r="35" spans="1:11" s="60" customFormat="1" ht="18.5" x14ac:dyDescent="0.35">
      <c r="A35" s="56" t="s">
        <v>108</v>
      </c>
      <c r="B35" s="57"/>
      <c r="C35" s="57"/>
      <c r="D35" s="57"/>
      <c r="E35" s="58"/>
      <c r="F35" s="58"/>
      <c r="G35" s="59"/>
      <c r="H35" s="59"/>
      <c r="I35" s="58"/>
      <c r="J35" s="58"/>
      <c r="K35" s="58"/>
    </row>
    <row r="36" spans="1:11" ht="18.5" x14ac:dyDescent="0.35">
      <c r="A36" s="29" t="s">
        <v>33</v>
      </c>
      <c r="B36" s="44">
        <v>46239</v>
      </c>
      <c r="C36" s="44">
        <v>46366</v>
      </c>
      <c r="D36" s="44" t="s">
        <v>17</v>
      </c>
      <c r="E36" s="27">
        <v>935</v>
      </c>
      <c r="F36" s="27">
        <v>392.7</v>
      </c>
      <c r="G36" s="30">
        <f t="shared" si="6"/>
        <v>0.42</v>
      </c>
      <c r="H36" s="38">
        <f t="shared" ref="H36:H40" si="7">E36-F36</f>
        <v>542.29999999999995</v>
      </c>
      <c r="I36" s="27">
        <f t="shared" ca="1" si="5"/>
        <v>8.8901639344262282</v>
      </c>
      <c r="J36" s="27">
        <f ca="1">ROUND(I36/3,0)</f>
        <v>3</v>
      </c>
      <c r="K36" s="27">
        <v>8</v>
      </c>
    </row>
    <row r="37" spans="1:11" ht="18.5" x14ac:dyDescent="0.35">
      <c r="A37" s="29" t="s">
        <v>41</v>
      </c>
      <c r="B37" s="44">
        <v>46252</v>
      </c>
      <c r="C37" s="44">
        <v>46368</v>
      </c>
      <c r="D37" s="44" t="s">
        <v>17</v>
      </c>
      <c r="E37" s="27">
        <v>490</v>
      </c>
      <c r="F37" s="27">
        <v>68.600000000000009</v>
      </c>
      <c r="G37" s="30">
        <f t="shared" si="6"/>
        <v>0.14000000000000001</v>
      </c>
      <c r="H37" s="38">
        <f t="shared" si="7"/>
        <v>421.4</v>
      </c>
      <c r="I37" s="27">
        <f t="shared" ca="1" si="5"/>
        <v>6.6888888888888882</v>
      </c>
      <c r="J37" s="27">
        <f t="shared" ref="J37" ca="1" si="8">ROUND(I37/3,0)</f>
        <v>2</v>
      </c>
      <c r="K37" s="27">
        <v>5</v>
      </c>
    </row>
    <row r="38" spans="1:11" s="39" customFormat="1" ht="18.5" x14ac:dyDescent="0.35">
      <c r="A38" s="29" t="s">
        <v>42</v>
      </c>
      <c r="B38" s="44">
        <v>46270</v>
      </c>
      <c r="C38" s="44">
        <v>46374</v>
      </c>
      <c r="D38" s="44" t="s">
        <v>17</v>
      </c>
      <c r="E38" s="27">
        <v>564</v>
      </c>
      <c r="F38" s="27">
        <v>112.80000000000001</v>
      </c>
      <c r="G38" s="30">
        <f t="shared" si="6"/>
        <v>0.2</v>
      </c>
      <c r="H38" s="38">
        <f t="shared" si="7"/>
        <v>451.2</v>
      </c>
      <c r="I38" s="27">
        <f t="shared" ca="1" si="5"/>
        <v>6.5391304347826082</v>
      </c>
      <c r="J38" s="27">
        <f ca="1">ROUND(I38/3,0)</f>
        <v>2</v>
      </c>
      <c r="K38" s="27">
        <v>2</v>
      </c>
    </row>
    <row r="39" spans="1:11" s="39" customFormat="1" ht="18.5" x14ac:dyDescent="0.35">
      <c r="A39" s="29" t="s">
        <v>43</v>
      </c>
      <c r="B39" s="44">
        <v>46244</v>
      </c>
      <c r="C39" s="44">
        <v>46366</v>
      </c>
      <c r="D39" s="44" t="s">
        <v>17</v>
      </c>
      <c r="E39" s="27">
        <v>485</v>
      </c>
      <c r="F39" s="27">
        <v>82.45</v>
      </c>
      <c r="G39" s="30">
        <f t="shared" si="6"/>
        <v>0.17</v>
      </c>
      <c r="H39" s="38">
        <f t="shared" si="7"/>
        <v>402.55</v>
      </c>
      <c r="I39" s="27">
        <f t="shared" ca="1" si="5"/>
        <v>6.5991803278688526</v>
      </c>
      <c r="J39" s="27">
        <f ca="1">ROUND(I39/3,0)</f>
        <v>2</v>
      </c>
      <c r="K39" s="27">
        <v>0</v>
      </c>
    </row>
    <row r="40" spans="1:11" s="39" customFormat="1" ht="18.5" x14ac:dyDescent="0.35">
      <c r="A40" s="29" t="s">
        <v>109</v>
      </c>
      <c r="B40" s="44">
        <v>46267</v>
      </c>
      <c r="C40" s="44">
        <v>46356</v>
      </c>
      <c r="D40" s="44" t="s">
        <v>30</v>
      </c>
      <c r="E40" s="27">
        <f>(70.6+77.6+70.6)*2</f>
        <v>437.59999999999997</v>
      </c>
      <c r="F40" s="27">
        <v>126.90399999999998</v>
      </c>
      <c r="G40" s="30">
        <f t="shared" si="6"/>
        <v>0.28999999999999998</v>
      </c>
      <c r="H40" s="38">
        <f t="shared" si="7"/>
        <v>310.69599999999997</v>
      </c>
      <c r="I40" s="27">
        <f t="shared" ca="1" si="5"/>
        <v>6.0920784313725482</v>
      </c>
      <c r="J40" s="27">
        <f ca="1">ROUND(I40/3,0)</f>
        <v>2</v>
      </c>
      <c r="K40" s="27">
        <v>3</v>
      </c>
    </row>
    <row r="41" spans="1:11" s="39" customFormat="1" ht="18" x14ac:dyDescent="0.35">
      <c r="A41" s="56" t="s">
        <v>45</v>
      </c>
      <c r="B41" s="57"/>
      <c r="C41" s="57"/>
      <c r="D41" s="57"/>
      <c r="E41" s="58"/>
      <c r="F41" s="58"/>
      <c r="G41" s="59"/>
      <c r="H41" s="59"/>
      <c r="I41" s="58"/>
      <c r="J41" s="58"/>
      <c r="K41" s="58"/>
    </row>
    <row r="42" spans="1:11" s="39" customFormat="1" ht="18" x14ac:dyDescent="0.35">
      <c r="A42" s="56" t="s">
        <v>46</v>
      </c>
      <c r="B42" s="57"/>
      <c r="C42" s="57"/>
      <c r="D42" s="57"/>
      <c r="E42" s="58"/>
      <c r="F42" s="58"/>
      <c r="G42" s="59"/>
      <c r="H42" s="59"/>
      <c r="I42" s="58"/>
      <c r="J42" s="58"/>
      <c r="K42" s="58"/>
    </row>
    <row r="43" spans="1:11" s="39" customFormat="1" ht="18.5" x14ac:dyDescent="0.35">
      <c r="A43" s="29" t="s">
        <v>47</v>
      </c>
      <c r="B43" s="44">
        <v>46034</v>
      </c>
      <c r="C43" s="44">
        <v>46275</v>
      </c>
      <c r="D43" s="44" t="s">
        <v>30</v>
      </c>
      <c r="E43" s="27">
        <v>1537</v>
      </c>
      <c r="F43" s="27">
        <v>1537</v>
      </c>
      <c r="G43" s="30">
        <f t="shared" ref="G43:G60" si="9">F43/E43</f>
        <v>1</v>
      </c>
      <c r="H43" s="38">
        <f t="shared" ref="H43:H49" si="10">E43-F43</f>
        <v>0</v>
      </c>
      <c r="I43" s="27">
        <f t="shared" ref="I43:I49" ca="1" si="11">H43/(C43-(IF(B43&gt;TODAY(),B43,TODAY())))</f>
        <v>0</v>
      </c>
      <c r="J43" s="38">
        <f ca="1">ROUND(I43/4,0)</f>
        <v>0</v>
      </c>
      <c r="K43" s="27">
        <v>0</v>
      </c>
    </row>
    <row r="44" spans="1:11" ht="18.5" x14ac:dyDescent="0.35">
      <c r="A44" s="29" t="s">
        <v>110</v>
      </c>
      <c r="B44" s="44">
        <v>46049</v>
      </c>
      <c r="C44" s="44">
        <v>46366</v>
      </c>
      <c r="D44" s="44" t="s">
        <v>30</v>
      </c>
      <c r="E44" s="27">
        <f>2760+1800</f>
        <v>4560</v>
      </c>
      <c r="F44" s="27">
        <v>3242.4</v>
      </c>
      <c r="G44" s="30">
        <f t="shared" si="9"/>
        <v>0.71105263157894738</v>
      </c>
      <c r="H44" s="38">
        <f t="shared" si="10"/>
        <v>1317.6</v>
      </c>
      <c r="I44" s="27">
        <f t="shared" ca="1" si="11"/>
        <v>21.599999999999998</v>
      </c>
      <c r="J44" s="38">
        <f t="shared" ref="J44:J60" ca="1" si="12">ROUND(I44/4,0)</f>
        <v>5</v>
      </c>
      <c r="K44" s="27">
        <v>4</v>
      </c>
    </row>
    <row r="45" spans="1:11" ht="18.5" x14ac:dyDescent="0.35">
      <c r="A45" s="29" t="s">
        <v>49</v>
      </c>
      <c r="B45" s="44">
        <v>46042</v>
      </c>
      <c r="C45" s="44">
        <v>46326</v>
      </c>
      <c r="D45" s="44" t="s">
        <v>17</v>
      </c>
      <c r="E45" s="27">
        <v>9830</v>
      </c>
      <c r="F45" s="27">
        <v>9633.4</v>
      </c>
      <c r="G45" s="30">
        <f t="shared" si="9"/>
        <v>0.98</v>
      </c>
      <c r="H45" s="38">
        <f t="shared" si="10"/>
        <v>196.60000000000036</v>
      </c>
      <c r="I45" s="27">
        <f t="shared" ca="1" si="11"/>
        <v>9.3619047619047784</v>
      </c>
      <c r="J45" s="38">
        <f t="shared" ca="1" si="12"/>
        <v>2</v>
      </c>
      <c r="K45" s="27">
        <v>5</v>
      </c>
    </row>
    <row r="46" spans="1:11" ht="18.5" x14ac:dyDescent="0.35">
      <c r="A46" s="29" t="s">
        <v>50</v>
      </c>
      <c r="B46" s="44">
        <v>46032</v>
      </c>
      <c r="C46" s="44">
        <v>46358</v>
      </c>
      <c r="D46" s="44" t="s">
        <v>30</v>
      </c>
      <c r="E46" s="27">
        <v>8425</v>
      </c>
      <c r="F46" s="27">
        <v>5863.25</v>
      </c>
      <c r="G46" s="30">
        <f t="shared" si="9"/>
        <v>0.69593471810089025</v>
      </c>
      <c r="H46" s="38">
        <f t="shared" si="10"/>
        <v>2561.75</v>
      </c>
      <c r="I46" s="27">
        <f t="shared" ca="1" si="11"/>
        <v>48.334905660377359</v>
      </c>
      <c r="J46" s="38">
        <f t="shared" ca="1" si="12"/>
        <v>12</v>
      </c>
      <c r="K46" s="27">
        <v>8</v>
      </c>
    </row>
    <row r="47" spans="1:11" s="39" customFormat="1" ht="18.5" x14ac:dyDescent="0.35">
      <c r="A47" s="29" t="s">
        <v>51</v>
      </c>
      <c r="B47" s="44">
        <v>46275</v>
      </c>
      <c r="C47" s="44">
        <v>46374</v>
      </c>
      <c r="D47" s="44" t="s">
        <v>30</v>
      </c>
      <c r="E47" s="27">
        <v>8263</v>
      </c>
      <c r="F47" s="27">
        <v>2523.12</v>
      </c>
      <c r="G47" s="30">
        <f t="shared" si="9"/>
        <v>0.30535156722739926</v>
      </c>
      <c r="H47" s="38">
        <f t="shared" si="10"/>
        <v>5739.88</v>
      </c>
      <c r="I47" s="27">
        <f t="shared" ca="1" si="11"/>
        <v>83.186666666666667</v>
      </c>
      <c r="J47" s="38">
        <f ca="1">ROUND(I47/4,0)</f>
        <v>21</v>
      </c>
      <c r="K47" s="27">
        <v>15</v>
      </c>
    </row>
    <row r="48" spans="1:11" s="39" customFormat="1" ht="18.5" x14ac:dyDescent="0.35">
      <c r="A48" s="29" t="s">
        <v>52</v>
      </c>
      <c r="B48" s="44">
        <v>46305</v>
      </c>
      <c r="C48" s="44">
        <v>46361</v>
      </c>
      <c r="D48" s="44" t="s">
        <v>30</v>
      </c>
      <c r="E48" s="27">
        <v>820</v>
      </c>
      <c r="F48" s="27">
        <v>32.799999999999997</v>
      </c>
      <c r="G48" s="30">
        <f t="shared" si="9"/>
        <v>3.9999999999999994E-2</v>
      </c>
      <c r="H48" s="38">
        <f t="shared" si="10"/>
        <v>787.2</v>
      </c>
      <c r="I48" s="27">
        <f t="shared" ca="1" si="11"/>
        <v>14.057142857142859</v>
      </c>
      <c r="J48" s="38">
        <f t="shared" ca="1" si="12"/>
        <v>4</v>
      </c>
      <c r="K48" s="27">
        <v>3</v>
      </c>
    </row>
    <row r="49" spans="1:11" s="39" customFormat="1" ht="18.5" x14ac:dyDescent="0.35">
      <c r="A49" s="29" t="s">
        <v>53</v>
      </c>
      <c r="B49" s="44">
        <v>46327</v>
      </c>
      <c r="C49" s="44">
        <v>46361</v>
      </c>
      <c r="D49" s="44" t="s">
        <v>17</v>
      </c>
      <c r="E49" s="27">
        <v>3121</v>
      </c>
      <c r="F49" s="27">
        <v>0</v>
      </c>
      <c r="G49" s="30">
        <f t="shared" si="9"/>
        <v>0</v>
      </c>
      <c r="H49" s="38">
        <f t="shared" si="10"/>
        <v>3121</v>
      </c>
      <c r="I49" s="27">
        <f t="shared" ca="1" si="11"/>
        <v>91.794117647058826</v>
      </c>
      <c r="J49" s="38">
        <f t="shared" ca="1" si="12"/>
        <v>23</v>
      </c>
      <c r="K49" s="27">
        <v>16</v>
      </c>
    </row>
    <row r="50" spans="1:11" s="39" customFormat="1" ht="18" x14ac:dyDescent="0.35">
      <c r="A50" s="56" t="s">
        <v>54</v>
      </c>
      <c r="B50" s="57"/>
      <c r="C50" s="57"/>
      <c r="D50" s="57"/>
      <c r="E50" s="58"/>
      <c r="F50" s="58"/>
      <c r="G50" s="59"/>
      <c r="H50" s="59"/>
      <c r="I50" s="58"/>
      <c r="J50" s="58"/>
      <c r="K50" s="58"/>
    </row>
    <row r="51" spans="1:11" s="39" customFormat="1" ht="18.5" x14ac:dyDescent="0.35">
      <c r="A51" s="29" t="s">
        <v>55</v>
      </c>
      <c r="B51" s="44">
        <v>46268</v>
      </c>
      <c r="C51" s="44">
        <v>46353</v>
      </c>
      <c r="D51" s="44" t="s">
        <v>30</v>
      </c>
      <c r="E51" s="27">
        <v>58034</v>
      </c>
      <c r="F51" s="27">
        <v>12767.48</v>
      </c>
      <c r="G51" s="30">
        <f t="shared" si="9"/>
        <v>0.22</v>
      </c>
      <c r="H51" s="38">
        <f t="shared" ref="H51:H64" si="13">E51-F51</f>
        <v>45266.520000000004</v>
      </c>
      <c r="I51" s="27">
        <f t="shared" ref="I51:I64" ca="1" si="14">H51/(C51-(IF(B51&gt;TODAY(),B51,TODAY())))</f>
        <v>943.05250000000012</v>
      </c>
      <c r="J51" s="38">
        <v>27</v>
      </c>
      <c r="K51" s="27">
        <v>18</v>
      </c>
    </row>
    <row r="52" spans="1:11" s="39" customFormat="1" ht="18.5" x14ac:dyDescent="0.35">
      <c r="A52" s="29" t="s">
        <v>56</v>
      </c>
      <c r="B52" s="44">
        <v>46270</v>
      </c>
      <c r="C52" s="44">
        <v>46347</v>
      </c>
      <c r="D52" s="44" t="s">
        <v>30</v>
      </c>
      <c r="E52" s="27">
        <v>23078</v>
      </c>
      <c r="F52" s="27">
        <v>9773.86</v>
      </c>
      <c r="G52" s="30">
        <f t="shared" si="9"/>
        <v>0.42351416933876423</v>
      </c>
      <c r="H52" s="38">
        <f t="shared" si="13"/>
        <v>13304.14</v>
      </c>
      <c r="I52" s="27">
        <f t="shared" ca="1" si="14"/>
        <v>316.76523809523809</v>
      </c>
      <c r="J52" s="38">
        <v>23</v>
      </c>
      <c r="K52" s="27">
        <v>15</v>
      </c>
    </row>
    <row r="53" spans="1:11" s="39" customFormat="1" ht="18.5" x14ac:dyDescent="0.35">
      <c r="A53" s="29" t="s">
        <v>57</v>
      </c>
      <c r="B53" s="44">
        <v>46361</v>
      </c>
      <c r="C53" s="44">
        <v>46376</v>
      </c>
      <c r="D53" s="44" t="s">
        <v>19</v>
      </c>
      <c r="E53" s="27">
        <v>4</v>
      </c>
      <c r="F53" s="27">
        <v>0</v>
      </c>
      <c r="G53" s="30">
        <f t="shared" si="9"/>
        <v>0</v>
      </c>
      <c r="H53" s="38">
        <f t="shared" si="13"/>
        <v>4</v>
      </c>
      <c r="I53" s="27">
        <f t="shared" ca="1" si="14"/>
        <v>0.26666666666666666</v>
      </c>
      <c r="J53" s="38">
        <f t="shared" ca="1" si="12"/>
        <v>0</v>
      </c>
      <c r="K53" s="27">
        <v>0</v>
      </c>
    </row>
    <row r="54" spans="1:11" ht="18.5" x14ac:dyDescent="0.35">
      <c r="A54" s="29" t="s">
        <v>59</v>
      </c>
      <c r="B54" s="44">
        <v>46230</v>
      </c>
      <c r="C54" s="44">
        <v>46365</v>
      </c>
      <c r="D54" s="44" t="s">
        <v>30</v>
      </c>
      <c r="E54" s="27">
        <v>2943</v>
      </c>
      <c r="F54" s="27">
        <v>1500.93</v>
      </c>
      <c r="G54" s="30">
        <f t="shared" si="9"/>
        <v>0.51</v>
      </c>
      <c r="H54" s="38">
        <f t="shared" si="13"/>
        <v>1442.07</v>
      </c>
      <c r="I54" s="27">
        <f t="shared" ca="1" si="14"/>
        <v>24.034499999999998</v>
      </c>
      <c r="J54" s="38">
        <f t="shared" ca="1" si="12"/>
        <v>6</v>
      </c>
      <c r="K54" s="27">
        <v>0</v>
      </c>
    </row>
    <row r="55" spans="1:11" s="39" customFormat="1" ht="18.5" x14ac:dyDescent="0.35">
      <c r="A55" s="29" t="s">
        <v>60</v>
      </c>
      <c r="B55" s="44">
        <v>46230</v>
      </c>
      <c r="C55" s="44">
        <v>46365</v>
      </c>
      <c r="D55" s="44" t="s">
        <v>19</v>
      </c>
      <c r="E55" s="27">
        <v>48</v>
      </c>
      <c r="F55" s="27">
        <v>14</v>
      </c>
      <c r="G55" s="30">
        <f t="shared" si="9"/>
        <v>0.29166666666666669</v>
      </c>
      <c r="H55" s="38">
        <f t="shared" si="13"/>
        <v>34</v>
      </c>
      <c r="I55" s="27">
        <f t="shared" ca="1" si="14"/>
        <v>0.56666666666666665</v>
      </c>
      <c r="J55" s="38">
        <f t="shared" ca="1" si="12"/>
        <v>0</v>
      </c>
      <c r="K55" s="27">
        <v>0</v>
      </c>
    </row>
    <row r="56" spans="1:11" s="39" customFormat="1" ht="18.5" x14ac:dyDescent="0.35">
      <c r="A56" s="29" t="s">
        <v>61</v>
      </c>
      <c r="B56" s="44">
        <v>46189</v>
      </c>
      <c r="C56" s="44">
        <v>46364</v>
      </c>
      <c r="D56" s="44" t="s">
        <v>30</v>
      </c>
      <c r="E56" s="27">
        <v>58362</v>
      </c>
      <c r="F56" s="27">
        <v>28013.759999999998</v>
      </c>
      <c r="G56" s="30">
        <f t="shared" si="9"/>
        <v>0.48</v>
      </c>
      <c r="H56" s="38">
        <f t="shared" si="13"/>
        <v>30348.240000000002</v>
      </c>
      <c r="I56" s="27">
        <f t="shared" ca="1" si="14"/>
        <v>514.37694915254235</v>
      </c>
      <c r="J56" s="38">
        <v>22</v>
      </c>
      <c r="K56" s="27">
        <v>19</v>
      </c>
    </row>
    <row r="57" spans="1:11" ht="18.5" x14ac:dyDescent="0.35">
      <c r="A57" s="29" t="s">
        <v>62</v>
      </c>
      <c r="B57" s="44">
        <v>46189</v>
      </c>
      <c r="C57" s="44">
        <v>46353</v>
      </c>
      <c r="D57" s="44" t="s">
        <v>30</v>
      </c>
      <c r="E57" s="27">
        <f>21280+4620</f>
        <v>25900</v>
      </c>
      <c r="F57" s="27">
        <v>16317</v>
      </c>
      <c r="G57" s="30">
        <f t="shared" si="9"/>
        <v>0.63</v>
      </c>
      <c r="H57" s="38">
        <f t="shared" si="13"/>
        <v>9583</v>
      </c>
      <c r="I57" s="27">
        <f t="shared" ca="1" si="14"/>
        <v>199.64583333333334</v>
      </c>
      <c r="J57" s="38">
        <v>18</v>
      </c>
      <c r="K57" s="27">
        <v>17</v>
      </c>
    </row>
    <row r="58" spans="1:11" ht="18.5" x14ac:dyDescent="0.35">
      <c r="A58" s="29" t="s">
        <v>63</v>
      </c>
      <c r="B58" s="44">
        <v>46305</v>
      </c>
      <c r="C58" s="44">
        <v>46321</v>
      </c>
      <c r="D58" s="44" t="s">
        <v>19</v>
      </c>
      <c r="E58" s="27">
        <v>1</v>
      </c>
      <c r="F58" s="27">
        <v>0</v>
      </c>
      <c r="G58" s="30">
        <f t="shared" si="9"/>
        <v>0</v>
      </c>
      <c r="H58" s="38">
        <f t="shared" si="13"/>
        <v>1</v>
      </c>
      <c r="I58" s="27">
        <f t="shared" ca="1" si="14"/>
        <v>6.25E-2</v>
      </c>
      <c r="J58" s="38">
        <f t="shared" ca="1" si="12"/>
        <v>0</v>
      </c>
      <c r="K58" s="27">
        <v>0</v>
      </c>
    </row>
    <row r="59" spans="1:11" ht="18.5" x14ac:dyDescent="0.35">
      <c r="A59" s="29" t="s">
        <v>64</v>
      </c>
      <c r="B59" s="44">
        <v>46310</v>
      </c>
      <c r="C59" s="44">
        <v>46367</v>
      </c>
      <c r="D59" s="44" t="s">
        <v>19</v>
      </c>
      <c r="E59" s="27">
        <v>14</v>
      </c>
      <c r="F59" s="27">
        <v>0</v>
      </c>
      <c r="G59" s="30">
        <f t="shared" si="9"/>
        <v>0</v>
      </c>
      <c r="H59" s="38">
        <f t="shared" si="13"/>
        <v>14</v>
      </c>
      <c r="I59" s="27">
        <f t="shared" ca="1" si="14"/>
        <v>0.24561403508771928</v>
      </c>
      <c r="J59" s="38">
        <f t="shared" ca="1" si="12"/>
        <v>0</v>
      </c>
      <c r="K59" s="27">
        <v>0</v>
      </c>
    </row>
    <row r="60" spans="1:11" ht="18.5" x14ac:dyDescent="0.35">
      <c r="A60" s="29" t="s">
        <v>111</v>
      </c>
      <c r="B60" s="44">
        <v>46346</v>
      </c>
      <c r="C60" s="44">
        <v>46366</v>
      </c>
      <c r="D60" s="44" t="s">
        <v>112</v>
      </c>
      <c r="E60" s="27">
        <v>1</v>
      </c>
      <c r="F60" s="27">
        <v>0</v>
      </c>
      <c r="G60" s="30">
        <f t="shared" si="9"/>
        <v>0</v>
      </c>
      <c r="H60" s="38">
        <f t="shared" si="13"/>
        <v>1</v>
      </c>
      <c r="I60" s="27">
        <f t="shared" ca="1" si="14"/>
        <v>0.05</v>
      </c>
      <c r="J60" s="38">
        <f t="shared" ca="1" si="12"/>
        <v>0</v>
      </c>
      <c r="K60" s="27">
        <v>0</v>
      </c>
    </row>
    <row r="61" spans="1:11" ht="18" x14ac:dyDescent="0.35">
      <c r="A61" s="56" t="s">
        <v>67</v>
      </c>
      <c r="B61" s="57"/>
      <c r="C61" s="57"/>
      <c r="D61" s="57"/>
      <c r="E61" s="58"/>
      <c r="F61" s="58"/>
      <c r="G61" s="59"/>
      <c r="H61" s="59"/>
      <c r="I61" s="58"/>
      <c r="J61" s="58"/>
      <c r="K61" s="58"/>
    </row>
    <row r="62" spans="1:11" ht="18.5" x14ac:dyDescent="0.35">
      <c r="A62" s="29" t="s">
        <v>68</v>
      </c>
      <c r="B62" s="44">
        <v>46310</v>
      </c>
      <c r="C62" s="44">
        <v>46351</v>
      </c>
      <c r="D62" s="44" t="s">
        <v>30</v>
      </c>
      <c r="E62" s="27">
        <v>2250</v>
      </c>
      <c r="F62" s="27">
        <v>1012.5</v>
      </c>
      <c r="G62" s="30">
        <v>0.45</v>
      </c>
      <c r="H62" s="38">
        <f t="shared" si="13"/>
        <v>1237.5</v>
      </c>
      <c r="I62" s="27">
        <f t="shared" ca="1" si="14"/>
        <v>30.182926829268293</v>
      </c>
      <c r="J62" s="38">
        <f ca="1">ROUND(I62/10,0)</f>
        <v>3</v>
      </c>
      <c r="K62" s="27">
        <v>5</v>
      </c>
    </row>
    <row r="63" spans="1:11" ht="18.5" x14ac:dyDescent="0.35">
      <c r="A63" s="29" t="s">
        <v>47</v>
      </c>
      <c r="B63" s="44">
        <v>46310</v>
      </c>
      <c r="C63" s="44">
        <v>46347</v>
      </c>
      <c r="D63" s="44" t="s">
        <v>30</v>
      </c>
      <c r="E63" s="27">
        <v>756</v>
      </c>
      <c r="F63" s="27">
        <v>756</v>
      </c>
      <c r="G63" s="30">
        <v>1</v>
      </c>
      <c r="H63" s="38">
        <f t="shared" si="13"/>
        <v>0</v>
      </c>
      <c r="I63" s="27">
        <f t="shared" ca="1" si="14"/>
        <v>0</v>
      </c>
      <c r="J63" s="38">
        <f t="shared" ref="J63:J64" ca="1" si="15">ROUND(I63/10,0)</f>
        <v>0</v>
      </c>
      <c r="K63" s="27">
        <v>0</v>
      </c>
    </row>
    <row r="64" spans="1:11" ht="18.5" x14ac:dyDescent="0.35">
      <c r="A64" s="29" t="s">
        <v>70</v>
      </c>
      <c r="B64" s="44">
        <v>46331</v>
      </c>
      <c r="C64" s="44">
        <v>46372</v>
      </c>
      <c r="D64" s="44" t="s">
        <v>19</v>
      </c>
      <c r="E64" s="27">
        <v>128</v>
      </c>
      <c r="F64" s="27">
        <v>0</v>
      </c>
      <c r="G64" s="30">
        <v>0</v>
      </c>
      <c r="H64" s="38">
        <f t="shared" si="13"/>
        <v>128</v>
      </c>
      <c r="I64" s="27">
        <f t="shared" ca="1" si="14"/>
        <v>3.1219512195121952</v>
      </c>
      <c r="J64" s="38">
        <f t="shared" ca="1" si="15"/>
        <v>0</v>
      </c>
      <c r="K64" s="27">
        <v>0</v>
      </c>
    </row>
    <row r="65" spans="1:11" s="60" customFormat="1" ht="18.5" x14ac:dyDescent="0.35">
      <c r="A65" s="56" t="s">
        <v>74</v>
      </c>
      <c r="B65" s="57"/>
      <c r="C65" s="57"/>
      <c r="D65" s="57"/>
      <c r="E65" s="58"/>
      <c r="F65" s="58"/>
      <c r="G65" s="59"/>
      <c r="H65" s="59"/>
      <c r="I65" s="58"/>
      <c r="J65" s="58"/>
      <c r="K65" s="58"/>
    </row>
    <row r="66" spans="1:11" ht="18.5" x14ac:dyDescent="0.35">
      <c r="A66" s="29" t="s">
        <v>113</v>
      </c>
      <c r="B66" s="44">
        <v>46295</v>
      </c>
      <c r="C66" s="44">
        <v>46331</v>
      </c>
      <c r="D66" s="44" t="s">
        <v>19</v>
      </c>
      <c r="E66" s="27">
        <v>2</v>
      </c>
      <c r="F66" s="27"/>
      <c r="G66" s="30">
        <v>7.0000000000000007E-2</v>
      </c>
      <c r="H66" s="30">
        <f>100%-G66</f>
        <v>0.92999999999999994</v>
      </c>
      <c r="I66" s="30">
        <f ca="1">(1-H66)*E66/(C66-(IF(B66&gt;TODAY(),B66,TODAY())))</f>
        <v>5.3846153846153896E-3</v>
      </c>
      <c r="J66" s="27">
        <v>4</v>
      </c>
      <c r="K66" s="27">
        <v>6</v>
      </c>
    </row>
    <row r="67" spans="1:11" ht="18.5" x14ac:dyDescent="0.35">
      <c r="A67" s="29" t="s">
        <v>114</v>
      </c>
      <c r="B67" s="44">
        <v>46302</v>
      </c>
      <c r="C67" s="44">
        <v>46344</v>
      </c>
      <c r="D67" s="44" t="s">
        <v>19</v>
      </c>
      <c r="E67" s="27">
        <v>1</v>
      </c>
      <c r="F67" s="27"/>
      <c r="G67" s="30">
        <v>0</v>
      </c>
      <c r="H67" s="30">
        <f t="shared" ref="H67:H71" si="16">100%-G67</f>
        <v>1</v>
      </c>
      <c r="I67" s="30">
        <f t="shared" ref="I67:I71" ca="1" si="17">(1-H67)*E67/(C67-(IF(B67&gt;TODAY(),B67,TODAY())))</f>
        <v>0</v>
      </c>
      <c r="J67" s="27">
        <v>0</v>
      </c>
      <c r="K67" s="27"/>
    </row>
    <row r="68" spans="1:11" ht="18.5" x14ac:dyDescent="0.35">
      <c r="A68" s="29" t="s">
        <v>113</v>
      </c>
      <c r="B68" s="44">
        <v>46306</v>
      </c>
      <c r="C68" s="44">
        <v>46354</v>
      </c>
      <c r="D68" s="44" t="s">
        <v>19</v>
      </c>
      <c r="E68" s="27">
        <v>2</v>
      </c>
      <c r="F68" s="27"/>
      <c r="G68" s="30">
        <v>0</v>
      </c>
      <c r="H68" s="30">
        <f t="shared" si="16"/>
        <v>1</v>
      </c>
      <c r="I68" s="30">
        <f t="shared" ca="1" si="17"/>
        <v>0</v>
      </c>
      <c r="J68" s="27">
        <v>0</v>
      </c>
      <c r="K68" s="27"/>
    </row>
    <row r="69" spans="1:11" ht="18.5" x14ac:dyDescent="0.35">
      <c r="A69" s="29" t="s">
        <v>113</v>
      </c>
      <c r="B69" s="44">
        <v>46341</v>
      </c>
      <c r="C69" s="44">
        <v>46377</v>
      </c>
      <c r="D69" s="44" t="s">
        <v>19</v>
      </c>
      <c r="E69" s="27">
        <v>2</v>
      </c>
      <c r="F69" s="27"/>
      <c r="G69" s="30">
        <v>0</v>
      </c>
      <c r="H69" s="30">
        <f t="shared" si="16"/>
        <v>1</v>
      </c>
      <c r="I69" s="30">
        <f t="shared" ca="1" si="17"/>
        <v>0</v>
      </c>
      <c r="J69" s="27">
        <v>0</v>
      </c>
      <c r="K69" s="27"/>
    </row>
    <row r="70" spans="1:11" ht="18.5" x14ac:dyDescent="0.35">
      <c r="A70" s="29" t="s">
        <v>113</v>
      </c>
      <c r="B70" s="44">
        <v>46319</v>
      </c>
      <c r="C70" s="44">
        <f>B70+45</f>
        <v>46364</v>
      </c>
      <c r="D70" s="44" t="s">
        <v>19</v>
      </c>
      <c r="E70" s="27">
        <v>2</v>
      </c>
      <c r="F70" s="27"/>
      <c r="G70" s="30">
        <v>0</v>
      </c>
      <c r="H70" s="30">
        <f t="shared" si="16"/>
        <v>1</v>
      </c>
      <c r="I70" s="30">
        <f t="shared" ca="1" si="17"/>
        <v>0</v>
      </c>
      <c r="J70" s="27">
        <v>0</v>
      </c>
      <c r="K70" s="27"/>
    </row>
    <row r="71" spans="1:11" ht="18.5" x14ac:dyDescent="0.35">
      <c r="A71" s="29" t="s">
        <v>115</v>
      </c>
      <c r="B71" s="44">
        <v>46323</v>
      </c>
      <c r="C71" s="44">
        <f>B71+50</f>
        <v>46373</v>
      </c>
      <c r="D71" s="44" t="s">
        <v>19</v>
      </c>
      <c r="E71" s="27">
        <v>2</v>
      </c>
      <c r="F71" s="27"/>
      <c r="G71" s="30">
        <v>0</v>
      </c>
      <c r="H71" s="30">
        <f t="shared" si="16"/>
        <v>1</v>
      </c>
      <c r="I71" s="30">
        <f t="shared" ca="1" si="17"/>
        <v>0</v>
      </c>
      <c r="J71" s="27">
        <v>0</v>
      </c>
      <c r="K71" s="27"/>
    </row>
    <row r="72" spans="1:11" s="60" customFormat="1" ht="18.5" x14ac:dyDescent="0.35">
      <c r="A72" s="56" t="s">
        <v>78</v>
      </c>
      <c r="B72" s="57"/>
      <c r="C72" s="57"/>
      <c r="D72" s="57"/>
      <c r="E72" s="58"/>
      <c r="F72" s="58"/>
      <c r="G72" s="59"/>
      <c r="H72" s="59"/>
      <c r="I72" s="58"/>
      <c r="J72" s="58"/>
      <c r="K72" s="58"/>
    </row>
    <row r="73" spans="1:11" ht="18.5" x14ac:dyDescent="0.35">
      <c r="A73" s="29" t="s">
        <v>116</v>
      </c>
      <c r="B73" s="44">
        <v>46275</v>
      </c>
      <c r="C73" s="44">
        <v>46303</v>
      </c>
      <c r="D73" s="44"/>
      <c r="E73" s="27"/>
      <c r="F73" s="27"/>
      <c r="G73" s="30"/>
      <c r="H73" s="30"/>
      <c r="I73" s="27"/>
      <c r="J73" s="27"/>
      <c r="K73" s="27"/>
    </row>
    <row r="74" spans="1:11" ht="18.5" x14ac:dyDescent="0.35">
      <c r="A74" s="29" t="s">
        <v>80</v>
      </c>
      <c r="B74" s="44">
        <v>46320</v>
      </c>
      <c r="C74" s="44">
        <v>46336</v>
      </c>
      <c r="D74" s="44"/>
      <c r="E74" s="27"/>
      <c r="F74" s="27"/>
      <c r="G74" s="30"/>
      <c r="H74" s="30"/>
      <c r="I74" s="27"/>
      <c r="J74" s="27"/>
      <c r="K74" s="27"/>
    </row>
    <row r="75" spans="1:11" ht="18.5" x14ac:dyDescent="0.35">
      <c r="A75" s="29" t="s">
        <v>81</v>
      </c>
      <c r="B75" s="44">
        <v>46323</v>
      </c>
      <c r="C75" s="44">
        <v>46341</v>
      </c>
      <c r="D75" s="44"/>
      <c r="E75" s="27"/>
      <c r="F75" s="27"/>
      <c r="G75" s="30"/>
      <c r="H75" s="30"/>
      <c r="I75" s="27"/>
      <c r="J75" s="27"/>
      <c r="K75" s="27"/>
    </row>
    <row r="76" spans="1:11" s="60" customFormat="1" ht="18.5" x14ac:dyDescent="0.35">
      <c r="A76" s="62" t="s">
        <v>82</v>
      </c>
      <c r="B76" s="63"/>
      <c r="C76" s="63"/>
      <c r="D76" s="63"/>
      <c r="E76" s="64"/>
      <c r="F76" s="64"/>
      <c r="G76" s="65"/>
      <c r="H76" s="65"/>
      <c r="I76" s="64"/>
      <c r="J76" s="64"/>
      <c r="K76" s="64"/>
    </row>
    <row r="77" spans="1:11" ht="18.5" x14ac:dyDescent="0.35">
      <c r="A77" s="29" t="s">
        <v>83</v>
      </c>
      <c r="B77" s="44">
        <v>46357</v>
      </c>
      <c r="C77" s="44">
        <v>46380</v>
      </c>
      <c r="D77" s="44"/>
      <c r="E77" s="27"/>
      <c r="F77" s="27"/>
      <c r="G77" s="30"/>
      <c r="H77" s="30"/>
      <c r="I77" s="27"/>
      <c r="J77" s="27"/>
      <c r="K77" s="27"/>
    </row>
    <row r="78" spans="1:11" ht="18.5" x14ac:dyDescent="0.35">
      <c r="A78" s="29" t="s">
        <v>84</v>
      </c>
      <c r="B78" s="44">
        <v>46351</v>
      </c>
      <c r="C78" s="44">
        <v>46376</v>
      </c>
      <c r="D78" s="44"/>
      <c r="E78" s="27"/>
      <c r="F78" s="27"/>
      <c r="G78" s="30"/>
      <c r="H78" s="30"/>
      <c r="I78" s="27"/>
      <c r="J78" s="27"/>
      <c r="K78" s="27"/>
    </row>
    <row r="79" spans="1:11" ht="18.5" x14ac:dyDescent="0.35">
      <c r="A79" s="29" t="s">
        <v>85</v>
      </c>
      <c r="B79" s="44">
        <v>46361</v>
      </c>
      <c r="C79" s="44">
        <v>46380</v>
      </c>
      <c r="D79" s="44"/>
      <c r="E79" s="27"/>
      <c r="F79" s="27"/>
      <c r="G79" s="30"/>
      <c r="H79" s="30"/>
      <c r="I79" s="27"/>
      <c r="J79" s="27"/>
      <c r="K79" s="27"/>
    </row>
    <row r="80" spans="1:11" ht="18.5" x14ac:dyDescent="0.35">
      <c r="A80" s="29" t="s">
        <v>86</v>
      </c>
      <c r="B80" s="44">
        <v>46346</v>
      </c>
      <c r="C80" s="44">
        <v>46376</v>
      </c>
      <c r="D80" s="44"/>
      <c r="E80" s="27"/>
      <c r="F80" s="27"/>
      <c r="G80" s="30"/>
      <c r="H80" s="30"/>
      <c r="I80" s="27"/>
      <c r="J80" s="27"/>
      <c r="K80" s="27"/>
    </row>
    <row r="1048544" spans="7:7" ht="30" customHeight="1" x14ac:dyDescent="0.4">
      <c r="G1048544" s="30" t="e">
        <f>VLOOKUP(A1048544,'[3]EMR - Activity wise'!$A$7:$E$83,5,FALSE)</f>
        <v>#N/A</v>
      </c>
    </row>
  </sheetData>
  <mergeCells count="11"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F3:F4"/>
  </mergeCells>
  <dataValidations count="5">
    <dataValidation allowBlank="1" showInputMessage="1" showErrorMessage="1" prompt="Select a period to highlight in H2. A Chart legend is in J2 to AI2" sqref="A2:H2 K2" xr:uid="{CA81BC9F-70CA-4E0B-9DE7-267A3AEFB0A2}"/>
    <dataValidation allowBlank="1" showInputMessage="1" showErrorMessage="1" prompt="Enter actual duration period in column F, starting with cell F5" sqref="K31 C31:F31 C3:H4 H31:H34 K3:K4 F32:F34 H36:H40" xr:uid="{0087DE89-8FF3-4F98-89F1-484848BB78B4}"/>
    <dataValidation allowBlank="1" showInputMessage="1" showErrorMessage="1" prompt="Enter activity in column B, starting with cell B5_x000a_" sqref="A3:A4 A40 A31" xr:uid="{55D54B94-1245-4471-9568-D4C5CC64C135}"/>
    <dataValidation allowBlank="1" showInputMessage="1" showErrorMessage="1" prompt="Enter plan start period in column C, starting with cell C5" sqref="B3:B4 B31" xr:uid="{D7EC79AD-ACC6-4620-A131-51B1D87B085C}"/>
    <dataValidation allowBlank="1" showInputMessage="1" showErrorMessage="1" prompt="Title of the project. Enter a new title in this cell. Highlight a period in H2. Chart legend is in J2 to AI2" sqref="A1" xr:uid="{A226CB19-4B1A-4E82-94B9-F8B5C90D6D5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OPD</vt:lpstr>
      <vt:lpstr>EMR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Prayank Kumar</dc:creator>
  <cp:lastModifiedBy>Prayank Kumar</cp:lastModifiedBy>
  <dcterms:created xsi:type="dcterms:W3CDTF">2026-10-10T15:15:21Z</dcterms:created>
  <dcterms:modified xsi:type="dcterms:W3CDTF">2026-10-10T15:25:47Z</dcterms:modified>
</cp:coreProperties>
</file>