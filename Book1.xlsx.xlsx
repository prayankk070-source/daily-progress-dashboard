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 autoCompressPictures="0"/>
  <xr:revisionPtr revIDLastSave="0" documentId="13_ncr:1_{46832F1A-39B8-4DF8-9DBC-12F7DCF49E14}" xr6:coauthVersionLast="47" xr6:coauthVersionMax="47" xr10:uidLastSave="{00000000-0000-0000-0000-000000000000}"/>
  <bookViews>
    <workbookView xWindow="-110" yWindow="-110" windowWidth="19420" windowHeight="10300" tabRatio="764" firstSheet="1" activeTab="2" xr2:uid="{00000000-000D-0000-FFFF-FFFF00000000}"/>
  </bookViews>
  <sheets>
    <sheet name="OPD - Summary" sheetId="15" state="hidden" r:id="rId1"/>
    <sheet name="OPD" sheetId="18" r:id="rId2"/>
    <sheet name="OPD  Backup Sheet" sheetId="20" r:id="rId3"/>
    <sheet name="EMR" sheetId="19" r:id="rId4"/>
    <sheet name="EMR Backup Sheet" sheetId="21" r:id="rId5"/>
    <sheet name="Academic" sheetId="9" state="hidden" r:id="rId6"/>
    <sheet name="EMR - Activity wise" sheetId="16" state="hidden" r:id="rId7"/>
    <sheet name="Academic (2)" sheetId="17" state="hidden" r:id="rId8"/>
    <sheet name="Type 4" sheetId="13" state="hidden" r:id="rId9"/>
    <sheet name="Type 5" sheetId="14" state="hidden" r:id="rId10"/>
    <sheet name="Type 3" sheetId="12" state="hidden" r:id="rId11"/>
    <sheet name="UG Female" sheetId="10" state="hidden" r:id="rId12"/>
    <sheet name="UGF backup" sheetId="11" state="hidden" r:id="rId13"/>
    <sheet name="EMR " sheetId="8" state="hidden" r:id="rId14"/>
    <sheet name="UG Male" sheetId="6" state="hidden" r:id="rId15"/>
    <sheet name="UG MALE backup" sheetId="7" state="hidden" r:id="rId16"/>
    <sheet name="OPD  " sheetId="5" state="hidden" r:id="rId17"/>
  </sheets>
  <externalReferences>
    <externalReference r:id="rId18"/>
    <externalReference r:id="rId19"/>
    <externalReference r:id="rId20"/>
    <externalReference r:id="rId21"/>
  </externalReferences>
  <definedNames>
    <definedName name="Actual" localSheetId="5">(Academic!PeriodInActual*(Academic!#REF!&gt;0))*Academic!PeriodInPlan</definedName>
    <definedName name="Actual" localSheetId="7">('Academic (2)'!PeriodInActual*('Academic (2)'!#REF!&gt;0))*'Academic (2)'!PeriodInPlan</definedName>
    <definedName name="Actual" localSheetId="13">('EMR '!PeriodInActual*('EMR '!#REF!&gt;0))*'EMR '!PeriodInPlan</definedName>
    <definedName name="Actual" localSheetId="6">('EMR - Activity wise'!PeriodInActual*('EMR - Activity wise'!#REF!&gt;0))*'EMR - Activity wise'!PeriodInPlan</definedName>
    <definedName name="Actual" localSheetId="4">('EMR Backup Sheet'!PeriodInActual*('EMR Backup Sheet'!#REF!&gt;0))*'EMR Backup Sheet'!PeriodInPlan</definedName>
    <definedName name="Actual" localSheetId="16">('OPD  '!PeriodInActual*('OPD  '!#REF!&gt;0))*'OPD  '!PeriodInPlan</definedName>
    <definedName name="Actual" localSheetId="2">('OPD  Backup Sheet'!PeriodInActual*('OPD  Backup Sheet'!#REF!&gt;0))*'OPD  Backup Sheet'!PeriodInPlan</definedName>
    <definedName name="Actual" localSheetId="0">('OPD - Summary'!PeriodInActual*('OPD - Summary'!#REF!&gt;0))*'OPD - Summary'!PeriodInPlan</definedName>
    <definedName name="Actual" localSheetId="10">('Type 3'!PeriodInActual*('Type 3'!#REF!&gt;0))*'Type 3'!PeriodInPlan</definedName>
    <definedName name="Actual" localSheetId="8">('Type 4'!PeriodInActual*('Type 4'!#REF!&gt;0))*'Type 4'!PeriodInPlan</definedName>
    <definedName name="Actual" localSheetId="9">('Type 5'!PeriodInActual*('Type 5'!#REF!&gt;0))*'Type 5'!PeriodInPlan</definedName>
    <definedName name="Actual" localSheetId="11">('UG Female'!PeriodInActual*('UG Female'!#REF!&gt;0))*'UG Female'!PeriodInPlan</definedName>
    <definedName name="Actual" localSheetId="14">('UG Male'!PeriodInActual*('UG Male'!#REF!&gt;0))*'UG Male'!PeriodInPlan</definedName>
    <definedName name="Actual">(PeriodInActual*(#REF!&gt;0))*PeriodInPlan</definedName>
    <definedName name="ActualBeyond" localSheetId="5">Academic!PeriodInActual*(Academic!#REF!&gt;0)</definedName>
    <definedName name="ActualBeyond" localSheetId="7">'Academic (2)'!PeriodInActual*('Academic (2)'!#REF!&gt;0)</definedName>
    <definedName name="ActualBeyond" localSheetId="13">'EMR '!PeriodInActual*('EMR '!#REF!&gt;0)</definedName>
    <definedName name="ActualBeyond" localSheetId="6">'EMR - Activity wise'!PeriodInActual*('EMR - Activity wise'!#REF!&gt;0)</definedName>
    <definedName name="ActualBeyond" localSheetId="4">'EMR Backup Sheet'!PeriodInActual*('EMR Backup Sheet'!#REF!&gt;0)</definedName>
    <definedName name="ActualBeyond" localSheetId="16">'OPD  '!PeriodInActual*('OPD  '!#REF!&gt;0)</definedName>
    <definedName name="ActualBeyond" localSheetId="2">'OPD  Backup Sheet'!PeriodInActual*('OPD  Backup Sheet'!#REF!&gt;0)</definedName>
    <definedName name="ActualBeyond" localSheetId="0">'OPD - Summary'!PeriodInActual*('OPD - Summary'!#REF!&gt;0)</definedName>
    <definedName name="ActualBeyond" localSheetId="10">'Type 3'!PeriodInActual*('Type 3'!#REF!&gt;0)</definedName>
    <definedName name="ActualBeyond" localSheetId="8">'Type 4'!PeriodInActual*('Type 4'!#REF!&gt;0)</definedName>
    <definedName name="ActualBeyond" localSheetId="9">'Type 5'!PeriodInActual*('Type 5'!#REF!&gt;0)</definedName>
    <definedName name="ActualBeyond" localSheetId="11">'UG Female'!PeriodInActual*('UG Female'!#REF!&gt;0)</definedName>
    <definedName name="ActualBeyond" localSheetId="14">'UG Male'!PeriodInActual*('UG Male'!#REF!&gt;0)</definedName>
    <definedName name="ActualBeyond">PeriodInActual*(#REF!&gt;0)</definedName>
    <definedName name="PercentComplete" localSheetId="5">Academic!PercentCompleteBeyond*Academic!PeriodInPlan</definedName>
    <definedName name="PercentComplete" localSheetId="7">'Academic (2)'!PercentCompleteBeyond*'Academic (2)'!PeriodInPlan</definedName>
    <definedName name="PercentComplete" localSheetId="13">'EMR '!PercentCompleteBeyond*'EMR '!PeriodInPlan</definedName>
    <definedName name="PercentComplete" localSheetId="6">'EMR - Activity wise'!PercentCompleteBeyond*'EMR - Activity wise'!PeriodInPlan</definedName>
    <definedName name="PercentComplete" localSheetId="4">'EMR Backup Sheet'!PercentCompleteBeyond*'EMR Backup Sheet'!PeriodInPlan</definedName>
    <definedName name="PercentComplete" localSheetId="16">'OPD  '!PercentCompleteBeyond*'OPD  '!PeriodInPlan</definedName>
    <definedName name="PercentComplete" localSheetId="2">'OPD  Backup Sheet'!PercentCompleteBeyond*'OPD  Backup Sheet'!PeriodInPlan</definedName>
    <definedName name="PercentComplete" localSheetId="0">'OPD - Summary'!PercentCompleteBeyond*'OPD - Summary'!PeriodInPlan</definedName>
    <definedName name="PercentComplete" localSheetId="10">'Type 3'!PercentCompleteBeyond*'Type 3'!PeriodInPlan</definedName>
    <definedName name="PercentComplete" localSheetId="8">'Type 4'!PercentCompleteBeyond*'Type 4'!PeriodInPlan</definedName>
    <definedName name="PercentComplete" localSheetId="9">'Type 5'!PercentCompleteBeyond*'Type 5'!PeriodInPlan</definedName>
    <definedName name="PercentComplete" localSheetId="11">'UG Female'!PercentCompleteBeyond*'UG Female'!PeriodInPlan</definedName>
    <definedName name="PercentComplete" localSheetId="14">'UG Male'!PercentCompleteBeyond*'UG Male'!PeriodInPlan</definedName>
    <definedName name="PercentComplete">PercentCompleteBeyond*PeriodInPlan</definedName>
    <definedName name="PercentCompleteBeyond" localSheetId="5">(Academic!A$4=MEDIAN(Academic!A$4,Academic!#REF!,Academic!#REF!+Academic!#REF!)*(Academic!#REF!&gt;0))*((Academic!A$4&lt;(INT(Academic!#REF!+Academic!#REF!*Academic!$E1)))+(Academic!A$4=Academic!#REF!))*(Academic!$E1&gt;0)</definedName>
    <definedName name="PercentCompleteBeyond" localSheetId="7">('Academic (2)'!A$4=MEDIAN('Academic (2)'!A$4,'Academic (2)'!#REF!,'Academic (2)'!#REF!+'Academic (2)'!#REF!)*('Academic (2)'!#REF!&gt;0))*(('Academic (2)'!A$4&lt;(INT('Academic (2)'!#REF!+'Academic (2)'!#REF!*'Academic (2)'!$D1)))+('Academic (2)'!A$4='Academic (2)'!#REF!))*('Academic (2)'!$D1&gt;0)</definedName>
    <definedName name="PercentCompleteBeyond" localSheetId="13">('EMR '!A$4=MEDIAN('EMR '!A$4,'EMR '!#REF!,'EMR '!#REF!+'EMR '!#REF!)*('EMR '!#REF!&gt;0))*(('EMR '!A$4&lt;(INT('EMR '!#REF!+'EMR '!#REF!*'EMR '!$E1)))+('EMR '!A$4='EMR '!#REF!))*('EMR '!$E1&gt;0)</definedName>
    <definedName name="PercentCompleteBeyond" localSheetId="6">('EMR - Activity wise'!A$4=MEDIAN('EMR - Activity wise'!A$4,'EMR - Activity wise'!#REF!,'EMR - Activity wise'!#REF!+'EMR - Activity wise'!#REF!)*('EMR - Activity wise'!#REF!&gt;0))*(('EMR - Activity wise'!A$4&lt;(INT('EMR - Activity wise'!#REF!+'EMR - Activity wise'!#REF!*'EMR - Activity wise'!$D1)))+('EMR - Activity wise'!A$4='EMR - Activity wise'!#REF!))*('EMR - Activity wise'!$D1&gt;0)</definedName>
    <definedName name="PercentCompleteBeyond" localSheetId="4">('EMR Backup Sheet'!A$4=MEDIAN('EMR Backup Sheet'!A$4,'EMR Backup Sheet'!#REF!,'EMR Backup Sheet'!#REF!+'EMR Backup Sheet'!#REF!)*('EMR Backup Sheet'!#REF!&gt;0))*(('EMR Backup Sheet'!A$4&lt;(INT('EMR Backup Sheet'!#REF!+'EMR Backup Sheet'!#REF!*'EMR Backup Sheet'!#REF!)))+('EMR Backup Sheet'!A$4='EMR Backup Sheet'!#REF!))*('EMR Backup Sheet'!#REF!&gt;0)</definedName>
    <definedName name="PercentCompleteBeyond" localSheetId="16">('OPD  '!A$4=MEDIAN('OPD  '!A$4,'OPD  '!#REF!,'OPD  '!#REF!+'OPD  '!#REF!)*('OPD  '!#REF!&gt;0))*(('OPD  '!A$4&lt;(INT('OPD  '!#REF!+'OPD  '!#REF!*'OPD  '!$E1)))+('OPD  '!A$4='OPD  '!#REF!))*('OPD  '!$E1&gt;0)</definedName>
    <definedName name="PercentCompleteBeyond" localSheetId="2">('OPD  Backup Sheet'!A$3=MEDIAN('OPD  Backup Sheet'!A$3,'OPD  Backup Sheet'!#REF!,'OPD  Backup Sheet'!#REF!+'OPD  Backup Sheet'!#REF!)*('OPD  Backup Sheet'!#REF!&gt;0))*(('OPD  Backup Sheet'!A$3&lt;(INT('OPD  Backup Sheet'!#REF!+'OPD  Backup Sheet'!#REF!*'OPD  Backup Sheet'!#REF!)))+('OPD  Backup Sheet'!A$3='OPD  Backup Sheet'!#REF!))*('OPD  Backup Sheet'!#REF!&gt;0)</definedName>
    <definedName name="PercentCompleteBeyond" localSheetId="0">('OPD - Summary'!A$3=MEDIAN('OPD - Summary'!A$3,'OPD - Summary'!#REF!,'OPD - Summary'!#REF!+'OPD - Summary'!#REF!)*('OPD - Summary'!#REF!&gt;0))*(('OPD - Summary'!A$3&lt;(INT('OPD - Summary'!#REF!+'OPD - Summary'!#REF!*'OPD - Summary'!$D1)))+('OPD - Summary'!A$3='OPD - Summary'!#REF!))*('OPD - Summary'!$D1&gt;0)</definedName>
    <definedName name="PercentCompleteBeyond" localSheetId="10">('Type 3'!A$4=MEDIAN('Type 3'!A$4,'Type 3'!#REF!,'Type 3'!#REF!+'Type 3'!#REF!)*('Type 3'!#REF!&gt;0))*(('Type 3'!A$4&lt;(INT('Type 3'!#REF!+'Type 3'!#REF!*'Type 3'!$E1)))+('Type 3'!A$4='Type 3'!#REF!))*('Type 3'!$E1&gt;0)</definedName>
    <definedName name="PercentCompleteBeyond" localSheetId="8">('Type 4'!A$4=MEDIAN('Type 4'!A$4,'Type 4'!#REF!,'Type 4'!#REF!+'Type 4'!#REF!)*('Type 4'!#REF!&gt;0))*(('Type 4'!A$4&lt;(INT('Type 4'!#REF!+'Type 4'!#REF!*'Type 4'!$D1)))+('Type 4'!A$4='Type 4'!#REF!))*('Type 4'!$D1&gt;0)</definedName>
    <definedName name="PercentCompleteBeyond" localSheetId="9">('Type 5'!A$4=MEDIAN('Type 5'!A$4,'Type 5'!#REF!,'Type 5'!#REF!+'Type 5'!#REF!)*('Type 5'!#REF!&gt;0))*(('Type 5'!A$4&lt;(INT('Type 5'!#REF!+'Type 5'!#REF!*'Type 5'!$E1)))+('Type 5'!A$4='Type 5'!#REF!))*('Type 5'!$E1&gt;0)</definedName>
    <definedName name="PercentCompleteBeyond" localSheetId="11">('UG Female'!A$4=MEDIAN('UG Female'!A$4,'UG Female'!#REF!,'UG Female'!#REF!+'UG Female'!#REF!)*('UG Female'!#REF!&gt;0))*(('UG Female'!A$4&lt;(INT('UG Female'!#REF!+'UG Female'!#REF!*'UG Female'!$E1)))+('UG Female'!A$4='UG Female'!#REF!))*('UG Female'!$E1&gt;0)</definedName>
    <definedName name="PercentCompleteBeyond" localSheetId="14">('UG Male'!A$4=MEDIAN('UG Male'!A$4,'UG Male'!#REF!,'UG Male'!#REF!+'UG Male'!#REF!)*('UG Male'!#REF!&gt;0))*(('UG Male'!A$4&lt;(INT('UG Male'!#REF!+'UG Male'!#REF!*'UG Male'!$E1)))+('UG Male'!A$4='UG Male'!#REF!))*('UG Male'!$E1&gt;0)</definedName>
    <definedName name="PercentCompleteBeyond">(#REF!=MEDIAN(#REF!,#REF!,#REF!+#REF!)*(#REF!&gt;0))*((#REF!&lt;(INT(#REF!+#REF!*#REF!)))+(#REF!=#REF!))*(#REF!&gt;0)</definedName>
    <definedName name="period_selected" localSheetId="5">Academic!$G$2</definedName>
    <definedName name="period_selected" localSheetId="7">'Academic (2)'!$F$2</definedName>
    <definedName name="period_selected" localSheetId="13">'EMR '!$G$2</definedName>
    <definedName name="period_selected" localSheetId="6">'EMR - Activity wise'!#REF!</definedName>
    <definedName name="period_selected" localSheetId="4">'EMR Backup Sheet'!#REF!</definedName>
    <definedName name="period_selected" localSheetId="16">'OPD  '!$G$2</definedName>
    <definedName name="period_selected" localSheetId="2">'OPD  Backup Sheet'!#REF!</definedName>
    <definedName name="period_selected" localSheetId="0">'OPD - Summary'!#REF!</definedName>
    <definedName name="period_selected" localSheetId="10">'Type 3'!$G$2</definedName>
    <definedName name="period_selected" localSheetId="8">'Type 4'!#REF!</definedName>
    <definedName name="period_selected" localSheetId="9">'Type 5'!$G$2</definedName>
    <definedName name="period_selected" localSheetId="11">'UG Female'!$G$2</definedName>
    <definedName name="period_selected" localSheetId="14">'UG Male'!$G$2</definedName>
    <definedName name="period_selected">#REF!</definedName>
    <definedName name="PeriodInActual" localSheetId="5">Academic!A$4=MEDIAN(Academic!A$4,Academic!#REF!,Academic!#REF!+Academic!#REF!-1)</definedName>
    <definedName name="PeriodInActual" localSheetId="7">'Academic (2)'!A$4=MEDIAN('Academic (2)'!A$4,'Academic (2)'!#REF!,'Academic (2)'!#REF!+'Academic (2)'!#REF!-1)</definedName>
    <definedName name="PeriodInActual" localSheetId="13">'EMR '!A$4=MEDIAN('EMR '!A$4,'EMR '!#REF!,'EMR '!#REF!+'EMR '!#REF!-1)</definedName>
    <definedName name="PeriodInActual" localSheetId="6">'EMR - Activity wise'!A$4=MEDIAN('EMR - Activity wise'!A$4,'EMR - Activity wise'!#REF!,'EMR - Activity wise'!#REF!+'EMR - Activity wise'!#REF!-1)</definedName>
    <definedName name="PeriodInActual" localSheetId="4">'EMR Backup Sheet'!A$4=MEDIAN('EMR Backup Sheet'!A$4,'EMR Backup Sheet'!#REF!,'EMR Backup Sheet'!#REF!+'EMR Backup Sheet'!#REF!-1)</definedName>
    <definedName name="PeriodInActual" localSheetId="16">'OPD  '!A$4=MEDIAN('OPD  '!A$4,'OPD  '!#REF!,'OPD  '!#REF!+'OPD  '!#REF!-1)</definedName>
    <definedName name="PeriodInActual" localSheetId="2">'OPD  Backup Sheet'!A$3=MEDIAN('OPD  Backup Sheet'!A$3,'OPD  Backup Sheet'!#REF!,'OPD  Backup Sheet'!#REF!+'OPD  Backup Sheet'!#REF!-1)</definedName>
    <definedName name="PeriodInActual" localSheetId="0">'OPD - Summary'!A$3=MEDIAN('OPD - Summary'!A$3,'OPD - Summary'!#REF!,'OPD - Summary'!#REF!+'OPD - Summary'!#REF!-1)</definedName>
    <definedName name="PeriodInActual" localSheetId="10">'Type 3'!A$4=MEDIAN('Type 3'!A$4,'Type 3'!#REF!,'Type 3'!#REF!+'Type 3'!#REF!-1)</definedName>
    <definedName name="PeriodInActual" localSheetId="8">'Type 4'!A$4=MEDIAN('Type 4'!A$4,'Type 4'!#REF!,'Type 4'!#REF!+'Type 4'!#REF!-1)</definedName>
    <definedName name="PeriodInActual" localSheetId="9">'Type 5'!A$4=MEDIAN('Type 5'!A$4,'Type 5'!#REF!,'Type 5'!#REF!+'Type 5'!#REF!-1)</definedName>
    <definedName name="PeriodInActual" localSheetId="11">'UG Female'!A$4=MEDIAN('UG Female'!A$4,'UG Female'!#REF!,'UG Female'!#REF!+'UG Female'!#REF!-1)</definedName>
    <definedName name="PeriodInActual" localSheetId="14">'UG Male'!A$4=MEDIAN('UG Male'!A$4,'UG Male'!#REF!,'UG Male'!#REF!+'UG Male'!#REF!-1)</definedName>
    <definedName name="PeriodInActual">#REF!=MEDIAN(#REF!,#REF!,#REF!+#REF!-1)</definedName>
    <definedName name="PeriodInPlan" localSheetId="5">Academic!A$4=MEDIAN(Academic!A$4,Academic!$C1,Academic!$C1+Academic!#REF!-1)</definedName>
    <definedName name="PeriodInPlan" localSheetId="7">'Academic (2)'!A$4=MEDIAN('Academic (2)'!A$4,'Academic (2)'!$B1,'Academic (2)'!$B1+'Academic (2)'!#REF!-1)</definedName>
    <definedName name="PeriodInPlan" localSheetId="13">'EMR '!A$4=MEDIAN('EMR '!A$4,'EMR '!$C1,'EMR '!$C1+'EMR '!#REF!-1)</definedName>
    <definedName name="PeriodInPlan" localSheetId="6">'EMR - Activity wise'!A$4=MEDIAN('EMR - Activity wise'!A$4,'EMR - Activity wise'!$B1,'EMR - Activity wise'!$B1+'EMR - Activity wise'!#REF!-1)</definedName>
    <definedName name="PeriodInPlan" localSheetId="4">'EMR Backup Sheet'!A$4=MEDIAN('EMR Backup Sheet'!A$4,'EMR Backup Sheet'!$B1,'EMR Backup Sheet'!$B1+'EMR Backup Sheet'!#REF!-1)</definedName>
    <definedName name="PeriodInPlan" localSheetId="16">'OPD  '!A$4=MEDIAN('OPD  '!A$4,'OPD  '!$C1,'OPD  '!$C1+'OPD  '!#REF!-1)</definedName>
    <definedName name="PeriodInPlan" localSheetId="2">'OPD  Backup Sheet'!A$3=MEDIAN('OPD  Backup Sheet'!A$3,'OPD  Backup Sheet'!$B1,'OPD  Backup Sheet'!$B1+'OPD  Backup Sheet'!#REF!-1)</definedName>
    <definedName name="PeriodInPlan" localSheetId="0">'OPD - Summary'!A$3=MEDIAN('OPD - Summary'!A$3,'OPD - Summary'!$B1,'OPD - Summary'!$B1+'OPD - Summary'!#REF!-1)</definedName>
    <definedName name="PeriodInPlan" localSheetId="10">'Type 3'!A$4=MEDIAN('Type 3'!A$4,'Type 3'!$C1,'Type 3'!$C1+'Type 3'!#REF!-1)</definedName>
    <definedName name="PeriodInPlan" localSheetId="8">'Type 4'!A$4=MEDIAN('Type 4'!A$4,'Type 4'!$B1,'Type 4'!$B1+'Type 4'!#REF!-1)</definedName>
    <definedName name="PeriodInPlan" localSheetId="9">'Type 5'!A$4=MEDIAN('Type 5'!A$4,'Type 5'!$C1,'Type 5'!$C1+'Type 5'!#REF!-1)</definedName>
    <definedName name="PeriodInPlan" localSheetId="11">'UG Female'!A$4=MEDIAN('UG Female'!A$4,'UG Female'!$C1,'UG Female'!$C1+'UG Female'!#REF!-1)</definedName>
    <definedName name="PeriodInPlan" localSheetId="14">'UG Male'!A$4=MEDIAN('UG Male'!A$4,'UG Male'!$C1,'UG Male'!$C1+'UG Male'!#REF!-1)</definedName>
    <definedName name="PeriodInPlan">#REF!=MEDIAN(#REF!,#REF!,#REF!+#REF!-1)</definedName>
    <definedName name="Plan" localSheetId="5">Academic!PeriodInPlan*(Academic!$C1&gt;0)</definedName>
    <definedName name="Plan" localSheetId="7">'Academic (2)'!PeriodInPlan*('Academic (2)'!$B1&gt;0)</definedName>
    <definedName name="Plan" localSheetId="13">'EMR '!PeriodInPlan*('EMR '!$C1&gt;0)</definedName>
    <definedName name="Plan" localSheetId="6">'EMR - Activity wise'!PeriodInPlan*('EMR - Activity wise'!$B1&gt;0)</definedName>
    <definedName name="Plan" localSheetId="4">'EMR Backup Sheet'!PeriodInPlan*('EMR Backup Sheet'!$B1&gt;0)</definedName>
    <definedName name="Plan" localSheetId="16">'OPD  '!PeriodInPlan*('OPD  '!$C1&gt;0)</definedName>
    <definedName name="Plan" localSheetId="2">'OPD  Backup Sheet'!PeriodInPlan*('OPD  Backup Sheet'!$B1&gt;0)</definedName>
    <definedName name="Plan" localSheetId="0">'OPD - Summary'!PeriodInPlan*('OPD - Summary'!$B1&gt;0)</definedName>
    <definedName name="Plan" localSheetId="10">'Type 3'!PeriodInPlan*('Type 3'!$C1&gt;0)</definedName>
    <definedName name="Plan" localSheetId="8">'Type 4'!PeriodInPlan*('Type 4'!$B1&gt;0)</definedName>
    <definedName name="Plan" localSheetId="9">'Type 5'!PeriodInPlan*('Type 5'!$C1&gt;0)</definedName>
    <definedName name="Plan" localSheetId="11">'UG Female'!PeriodInPlan*('UG Female'!$C1&gt;0)</definedName>
    <definedName name="Plan" localSheetId="14">'UG Male'!PeriodInPlan*('UG Male'!$C1&gt;0)</definedName>
    <definedName name="Plan">PeriodInPlan*(#REF!&gt;0)</definedName>
    <definedName name="_xlnm.Print_Area" localSheetId="7">'Academic (2)'!$A$1:$L$57</definedName>
    <definedName name="_xlnm.Print_Titles" localSheetId="5">Academic!$3:$4</definedName>
    <definedName name="_xlnm.Print_Titles" localSheetId="7">'Academic (2)'!$3:$4</definedName>
    <definedName name="_xlnm.Print_Titles" localSheetId="13">'EMR '!$3:$4</definedName>
    <definedName name="_xlnm.Print_Titles" localSheetId="6">'EMR - Activity wise'!$3:$4</definedName>
    <definedName name="_xlnm.Print_Titles" localSheetId="4">'EMR Backup Sheet'!$3:$4</definedName>
    <definedName name="_xlnm.Print_Titles" localSheetId="16">'OPD  '!$3:$4</definedName>
    <definedName name="_xlnm.Print_Titles" localSheetId="2">'OPD  Backup Sheet'!$2:$3</definedName>
    <definedName name="_xlnm.Print_Titles" localSheetId="0">'OPD - Summary'!$2:$3</definedName>
    <definedName name="_xlnm.Print_Titles" localSheetId="10">'Type 3'!$3:$4</definedName>
    <definedName name="_xlnm.Print_Titles" localSheetId="8">'Type 4'!$3:$4</definedName>
    <definedName name="_xlnm.Print_Titles" localSheetId="9">'Type 5'!$3:$4</definedName>
    <definedName name="_xlnm.Print_Titles" localSheetId="11">'UG Female'!$3:$4</definedName>
    <definedName name="_xlnm.Print_Titles" localSheetId="14">'UG Male'!$3:$4</definedName>
    <definedName name="TitleRegion..BO60" localSheetId="5">Academic!$B$3:$B$4</definedName>
    <definedName name="TitleRegion..BO60" localSheetId="7">'Academic (2)'!$A$3:$A$4</definedName>
    <definedName name="TitleRegion..BO60" localSheetId="13">'EMR '!$B$3:$B$4</definedName>
    <definedName name="TitleRegion..BO60" localSheetId="6">'EMR - Activity wise'!$A$3:$A$4</definedName>
    <definedName name="TitleRegion..BO60" localSheetId="4">'EMR Backup Sheet'!$A$3:$A$4</definedName>
    <definedName name="TitleRegion..BO60" localSheetId="16">'OPD  '!$B$3:$B$4</definedName>
    <definedName name="TitleRegion..BO60" localSheetId="2">'OPD  Backup Sheet'!$A$2:$A$3</definedName>
    <definedName name="TitleRegion..BO60" localSheetId="0">'OPD - Summary'!$A$2:$A$3</definedName>
    <definedName name="TitleRegion..BO60" localSheetId="10">'Type 3'!$B$3:$B$4</definedName>
    <definedName name="TitleRegion..BO60" localSheetId="8">'Type 4'!$A$3:$A$4</definedName>
    <definedName name="TitleRegion..BO60" localSheetId="9">'Type 5'!$B$3:$B$4</definedName>
    <definedName name="TitleRegion..BO60" localSheetId="11">'UG Female'!$B$3:$B$4</definedName>
    <definedName name="TitleRegion..BO60" localSheetId="14">'UG Male'!$B$3:$B$4</definedName>
    <definedName name="TitleRegion..BO60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67" i="21" l="1"/>
  <c r="H68" i="21"/>
  <c r="H69" i="21"/>
  <c r="H70" i="21"/>
  <c r="H71" i="21"/>
  <c r="G60" i="21"/>
  <c r="G59" i="21"/>
  <c r="G58" i="21"/>
  <c r="G57" i="21"/>
  <c r="G56" i="21"/>
  <c r="G55" i="21"/>
  <c r="G54" i="21"/>
  <c r="G53" i="21"/>
  <c r="G52" i="21"/>
  <c r="G51" i="21"/>
  <c r="G49" i="21"/>
  <c r="G48" i="21"/>
  <c r="G47" i="21"/>
  <c r="G46" i="21"/>
  <c r="G45" i="21"/>
  <c r="G44" i="21"/>
  <c r="G43" i="21"/>
  <c r="H40" i="21"/>
  <c r="H39" i="21"/>
  <c r="H38" i="21"/>
  <c r="H37" i="21"/>
  <c r="H36" i="21"/>
  <c r="G40" i="21"/>
  <c r="G39" i="21"/>
  <c r="G38" i="21"/>
  <c r="G37" i="21"/>
  <c r="G36" i="21"/>
  <c r="G32" i="21"/>
  <c r="G33" i="21"/>
  <c r="G34" i="21"/>
  <c r="G31" i="21"/>
  <c r="H29" i="21"/>
  <c r="H28" i="21"/>
  <c r="H66" i="21"/>
  <c r="H64" i="21"/>
  <c r="I64" i="21" s="1"/>
  <c r="J64" i="21" s="1"/>
  <c r="H63" i="21"/>
  <c r="I63" i="21" s="1"/>
  <c r="J63" i="21" s="1"/>
  <c r="H62" i="21"/>
  <c r="I62" i="21" s="1"/>
  <c r="J62" i="21" s="1"/>
  <c r="H60" i="21"/>
  <c r="I60" i="21" s="1"/>
  <c r="J60" i="21" s="1"/>
  <c r="H59" i="21"/>
  <c r="I59" i="21" s="1"/>
  <c r="J59" i="21" s="1"/>
  <c r="H58" i="21"/>
  <c r="I58" i="21" s="1"/>
  <c r="J58" i="21" s="1"/>
  <c r="H56" i="21"/>
  <c r="I56" i="21" s="1"/>
  <c r="H55" i="21"/>
  <c r="I55" i="21" s="1"/>
  <c r="J55" i="21" s="1"/>
  <c r="H54" i="21"/>
  <c r="I54" i="21" s="1"/>
  <c r="J54" i="21" s="1"/>
  <c r="H53" i="21"/>
  <c r="I53" i="21" s="1"/>
  <c r="J53" i="21" s="1"/>
  <c r="H52" i="21"/>
  <c r="I52" i="21" s="1"/>
  <c r="H51" i="21"/>
  <c r="I51" i="21" s="1"/>
  <c r="H49" i="21"/>
  <c r="I49" i="21" s="1"/>
  <c r="J49" i="21" s="1"/>
  <c r="H48" i="21"/>
  <c r="I48" i="21" s="1"/>
  <c r="J48" i="21" s="1"/>
  <c r="H47" i="21"/>
  <c r="I47" i="21" s="1"/>
  <c r="J47" i="21" s="1"/>
  <c r="H46" i="21"/>
  <c r="I46" i="21" s="1"/>
  <c r="J46" i="21" s="1"/>
  <c r="H45" i="21"/>
  <c r="I45" i="21" s="1"/>
  <c r="J45" i="21" s="1"/>
  <c r="H43" i="21"/>
  <c r="I43" i="21" s="1"/>
  <c r="J43" i="21" s="1"/>
  <c r="I39" i="21"/>
  <c r="J39" i="21" s="1"/>
  <c r="I38" i="21"/>
  <c r="J38" i="21" s="1"/>
  <c r="I37" i="21"/>
  <c r="J37" i="21" s="1"/>
  <c r="I36" i="21"/>
  <c r="J36" i="21" s="1"/>
  <c r="H33" i="21"/>
  <c r="I33" i="21" s="1"/>
  <c r="J33" i="21" s="1"/>
  <c r="H32" i="21"/>
  <c r="I32" i="21" s="1"/>
  <c r="J32" i="21" s="1"/>
  <c r="H31" i="21"/>
  <c r="I31" i="21" s="1"/>
  <c r="J31" i="21" s="1"/>
  <c r="H26" i="21"/>
  <c r="H25" i="21"/>
  <c r="H23" i="21"/>
  <c r="H22" i="21"/>
  <c r="B11" i="21"/>
  <c r="B12" i="21" s="1"/>
  <c r="B13" i="21" s="1"/>
  <c r="E13" i="21"/>
  <c r="E12" i="21"/>
  <c r="E11" i="21"/>
  <c r="E10" i="21"/>
  <c r="G65" i="20"/>
  <c r="H65" i="20" s="1"/>
  <c r="I65" i="20" s="1"/>
  <c r="J65" i="20" s="1"/>
  <c r="G76" i="20"/>
  <c r="H76" i="20" s="1"/>
  <c r="I76" i="20" s="1"/>
  <c r="J76" i="20" s="1"/>
  <c r="G75" i="20"/>
  <c r="H75" i="20" s="1"/>
  <c r="I75" i="20" s="1"/>
  <c r="J75" i="20" s="1"/>
  <c r="G74" i="20"/>
  <c r="H74" i="20" s="1"/>
  <c r="I74" i="20" s="1"/>
  <c r="J74" i="20" s="1"/>
  <c r="G73" i="20"/>
  <c r="H73" i="20" s="1"/>
  <c r="I73" i="20" s="1"/>
  <c r="J73" i="20" s="1"/>
  <c r="G70" i="20"/>
  <c r="H70" i="20" s="1"/>
  <c r="I70" i="20" s="1"/>
  <c r="J70" i="20" s="1"/>
  <c r="G69" i="20"/>
  <c r="H69" i="20" s="1"/>
  <c r="I69" i="20" s="1"/>
  <c r="J69" i="20" s="1"/>
  <c r="G68" i="20"/>
  <c r="H68" i="20" s="1"/>
  <c r="I68" i="20" s="1"/>
  <c r="J68" i="20" s="1"/>
  <c r="G67" i="20"/>
  <c r="H67" i="20" s="1"/>
  <c r="I67" i="20" s="1"/>
  <c r="J67" i="20" s="1"/>
  <c r="G64" i="20"/>
  <c r="H64" i="20" s="1"/>
  <c r="I64" i="20" s="1"/>
  <c r="J64" i="20" s="1"/>
  <c r="G63" i="20"/>
  <c r="H63" i="20" s="1"/>
  <c r="I63" i="20" s="1"/>
  <c r="J63" i="20" s="1"/>
  <c r="G62" i="20"/>
  <c r="H62" i="20" s="1"/>
  <c r="I62" i="20" s="1"/>
  <c r="J62" i="20" s="1"/>
  <c r="G61" i="20"/>
  <c r="H61" i="20" s="1"/>
  <c r="G60" i="20"/>
  <c r="H60" i="20" s="1"/>
  <c r="I60" i="20" s="1"/>
  <c r="J60" i="20" s="1"/>
  <c r="G59" i="20"/>
  <c r="H59" i="20" s="1"/>
  <c r="I59" i="20" s="1"/>
  <c r="J59" i="20" s="1"/>
  <c r="G58" i="20"/>
  <c r="H58" i="20" s="1"/>
  <c r="I58" i="20" s="1"/>
  <c r="J58" i="20" s="1"/>
  <c r="G57" i="20"/>
  <c r="H57" i="20" s="1"/>
  <c r="I57" i="20" s="1"/>
  <c r="J57" i="20" s="1"/>
  <c r="G56" i="20"/>
  <c r="H56" i="20" s="1"/>
  <c r="I56" i="20" s="1"/>
  <c r="J56" i="20" s="1"/>
  <c r="G55" i="20"/>
  <c r="H55" i="20" s="1"/>
  <c r="I55" i="20" s="1"/>
  <c r="J55" i="20" s="1"/>
  <c r="G53" i="20"/>
  <c r="H53" i="20" s="1"/>
  <c r="I53" i="20" s="1"/>
  <c r="J53" i="20" s="1"/>
  <c r="G52" i="20"/>
  <c r="H52" i="20" s="1"/>
  <c r="I52" i="20" s="1"/>
  <c r="J52" i="20" s="1"/>
  <c r="G50" i="20"/>
  <c r="H50" i="20" s="1"/>
  <c r="I50" i="20" s="1"/>
  <c r="J50" i="20" s="1"/>
  <c r="G47" i="20"/>
  <c r="H47" i="20" s="1"/>
  <c r="I47" i="20" s="1"/>
  <c r="J47" i="20" s="1"/>
  <c r="C42" i="20"/>
  <c r="C43" i="20"/>
  <c r="B26" i="20"/>
  <c r="B33" i="20"/>
  <c r="C40" i="20"/>
  <c r="E43" i="20"/>
  <c r="E39" i="20"/>
  <c r="G39" i="20" s="1"/>
  <c r="H39" i="20" s="1"/>
  <c r="I39" i="20" s="1"/>
  <c r="J39" i="20" s="1"/>
  <c r="B42" i="20"/>
  <c r="B40" i="20"/>
  <c r="E35" i="20"/>
  <c r="G35" i="20" s="1"/>
  <c r="H35" i="20" s="1"/>
  <c r="G33" i="20"/>
  <c r="H33" i="20" s="1"/>
  <c r="G44" i="20"/>
  <c r="H44" i="20" s="1"/>
  <c r="G43" i="20"/>
  <c r="H43" i="20" s="1"/>
  <c r="G42" i="20"/>
  <c r="H42" i="20" s="1"/>
  <c r="I42" i="20" s="1"/>
  <c r="J42" i="20" s="1"/>
  <c r="G41" i="20"/>
  <c r="H41" i="20" s="1"/>
  <c r="I41" i="20" s="1"/>
  <c r="J41" i="20" s="1"/>
  <c r="G40" i="20"/>
  <c r="H40" i="20" s="1"/>
  <c r="G37" i="20"/>
  <c r="H37" i="20" s="1"/>
  <c r="G36" i="20"/>
  <c r="H36" i="20" s="1"/>
  <c r="G34" i="20"/>
  <c r="H34" i="20" s="1"/>
  <c r="I34" i="20" s="1"/>
  <c r="J34" i="20" s="1"/>
  <c r="G32" i="20"/>
  <c r="H32" i="20" s="1"/>
  <c r="I32" i="20" s="1"/>
  <c r="J32" i="20" s="1"/>
  <c r="C35" i="20"/>
  <c r="C36" i="20" s="1"/>
  <c r="B35" i="20"/>
  <c r="C33" i="20"/>
  <c r="C28" i="20"/>
  <c r="C29" i="20" s="1"/>
  <c r="B28" i="20"/>
  <c r="C26" i="20"/>
  <c r="B21" i="20"/>
  <c r="C21" i="20"/>
  <c r="C22" i="20" s="1"/>
  <c r="B23" i="20" s="1"/>
  <c r="C23" i="20" s="1"/>
  <c r="C19" i="20"/>
  <c r="B19" i="20"/>
  <c r="G30" i="20"/>
  <c r="H30" i="20" s="1"/>
  <c r="G28" i="20"/>
  <c r="H28" i="20" s="1"/>
  <c r="G27" i="20"/>
  <c r="H27" i="20" s="1"/>
  <c r="I27" i="20" s="1"/>
  <c r="J27" i="20" s="1"/>
  <c r="G26" i="20"/>
  <c r="H26" i="20" s="1"/>
  <c r="G21" i="20"/>
  <c r="H21" i="20" s="1"/>
  <c r="I21" i="20" s="1"/>
  <c r="J21" i="20" s="1"/>
  <c r="G20" i="20"/>
  <c r="H20" i="20" s="1"/>
  <c r="I20" i="20" s="1"/>
  <c r="J20" i="20" s="1"/>
  <c r="G19" i="20"/>
  <c r="H19" i="20" s="1"/>
  <c r="I19" i="20" s="1"/>
  <c r="J19" i="20" s="1"/>
  <c r="G18" i="20"/>
  <c r="H18" i="20" s="1"/>
  <c r="I18" i="20" s="1"/>
  <c r="J18" i="20" s="1"/>
  <c r="G14" i="20"/>
  <c r="H14" i="20" s="1"/>
  <c r="I14" i="20" s="1"/>
  <c r="J14" i="20" s="1"/>
  <c r="G12" i="20"/>
  <c r="H12" i="20" s="1"/>
  <c r="G11" i="20"/>
  <c r="H11" i="20" s="1"/>
  <c r="G10" i="20"/>
  <c r="H10" i="20" s="1"/>
  <c r="G9" i="20"/>
  <c r="H9" i="20" s="1"/>
  <c r="G8" i="20"/>
  <c r="H8" i="20" s="1"/>
  <c r="I8" i="20" s="1"/>
  <c r="J8" i="20" s="1"/>
  <c r="G6" i="20"/>
  <c r="H6" i="20" s="1"/>
  <c r="I6" i="20" s="1"/>
  <c r="J6" i="20" s="1"/>
  <c r="G49" i="20"/>
  <c r="H49" i="20" s="1"/>
  <c r="I49" i="20" s="1"/>
  <c r="J49" i="20" s="1"/>
  <c r="G48" i="20"/>
  <c r="H48" i="20" s="1"/>
  <c r="I48" i="20" s="1"/>
  <c r="J48" i="20" s="1"/>
  <c r="E7" i="20"/>
  <c r="E13" i="20"/>
  <c r="G13" i="20" s="1"/>
  <c r="H13" i="20" s="1"/>
  <c r="I13" i="20" s="1"/>
  <c r="J13" i="20" s="1"/>
  <c r="E15" i="20"/>
  <c r="G15" i="20" s="1"/>
  <c r="H15" i="20" s="1"/>
  <c r="I15" i="20" s="1"/>
  <c r="J15" i="20" s="1"/>
  <c r="G23" i="20"/>
  <c r="H23" i="20" s="1"/>
  <c r="E22" i="20"/>
  <c r="G22" i="20" s="1"/>
  <c r="H22" i="20" s="1"/>
  <c r="E25" i="20"/>
  <c r="G25" i="20" s="1"/>
  <c r="H25" i="20" s="1"/>
  <c r="I25" i="20" s="1"/>
  <c r="J25" i="20" s="1"/>
  <c r="E29" i="20"/>
  <c r="G29" i="20" s="1"/>
  <c r="H29" i="20" s="1"/>
  <c r="E48" i="20"/>
  <c r="E49" i="20"/>
  <c r="E51" i="20"/>
  <c r="G51" i="20" s="1"/>
  <c r="H51" i="20" s="1"/>
  <c r="I51" i="20" s="1"/>
  <c r="J51" i="20" s="1"/>
  <c r="E71" i="20"/>
  <c r="G71" i="20" s="1"/>
  <c r="H71" i="20" s="1"/>
  <c r="I71" i="20" s="1"/>
  <c r="J71" i="20" s="1"/>
  <c r="G1048544" i="21"/>
  <c r="C71" i="21"/>
  <c r="I71" i="21" s="1"/>
  <c r="C70" i="21"/>
  <c r="I70" i="21" s="1"/>
  <c r="I69" i="21"/>
  <c r="I68" i="21"/>
  <c r="I67" i="21"/>
  <c r="I66" i="21"/>
  <c r="E57" i="21"/>
  <c r="H57" i="21" s="1"/>
  <c r="I57" i="21" s="1"/>
  <c r="E44" i="21"/>
  <c r="H44" i="21" s="1"/>
  <c r="I44" i="21" s="1"/>
  <c r="J44" i="21" s="1"/>
  <c r="E40" i="21"/>
  <c r="I40" i="21" s="1"/>
  <c r="E34" i="21"/>
  <c r="H34" i="21" s="1"/>
  <c r="I34" i="21" s="1"/>
  <c r="H20" i="21"/>
  <c r="E9" i="21"/>
  <c r="C9" i="21"/>
  <c r="E6" i="21"/>
  <c r="H6" i="21" s="1"/>
  <c r="I6" i="21" s="1"/>
  <c r="I1048571" i="20"/>
  <c r="C61" i="20"/>
  <c r="E42" i="16"/>
  <c r="E27" i="16"/>
  <c r="E25" i="16"/>
  <c r="E22" i="16"/>
  <c r="E18" i="16"/>
  <c r="E5" i="16"/>
  <c r="J40" i="21" l="1"/>
  <c r="I23" i="20"/>
  <c r="J23" i="20" s="1"/>
  <c r="I61" i="20"/>
  <c r="J61" i="20" s="1"/>
  <c r="I40" i="20"/>
  <c r="J40" i="20" s="1"/>
  <c r="I28" i="20"/>
  <c r="J28" i="20" s="1"/>
  <c r="I22" i="20"/>
  <c r="J22" i="20" s="1"/>
  <c r="I33" i="20"/>
  <c r="J33" i="20" s="1"/>
  <c r="B44" i="20"/>
  <c r="C44" i="20" s="1"/>
  <c r="I44" i="20" s="1"/>
  <c r="J44" i="20" s="1"/>
  <c r="I43" i="20"/>
  <c r="J43" i="20" s="1"/>
  <c r="I36" i="20"/>
  <c r="J36" i="20" s="1"/>
  <c r="I35" i="20"/>
  <c r="J35" i="20" s="1"/>
  <c r="B37" i="20"/>
  <c r="C37" i="20" s="1"/>
  <c r="I37" i="20" s="1"/>
  <c r="J37" i="20" s="1"/>
  <c r="I26" i="20"/>
  <c r="J26" i="20" s="1"/>
  <c r="B30" i="20"/>
  <c r="C30" i="20" s="1"/>
  <c r="I30" i="20" s="1"/>
  <c r="J30" i="20" s="1"/>
  <c r="I29" i="20"/>
  <c r="J29" i="20" s="1"/>
  <c r="I11" i="20"/>
  <c r="J11" i="20" s="1"/>
  <c r="I10" i="20"/>
  <c r="J10" i="20" s="1"/>
  <c r="I9" i="20"/>
  <c r="J9" i="20" s="1"/>
  <c r="G7" i="20"/>
  <c r="H7" i="20" s="1"/>
  <c r="I7" i="20" s="1"/>
  <c r="J7" i="20" s="1"/>
  <c r="G5" i="20"/>
  <c r="H5" i="20" s="1"/>
  <c r="I5" i="20" s="1"/>
  <c r="J5" i="20" s="1"/>
  <c r="I12" i="20"/>
  <c r="J12" i="20" s="1"/>
  <c r="E57" i="15"/>
  <c r="E55" i="15"/>
  <c r="E4" i="15"/>
  <c r="C73" i="16" l="1"/>
  <c r="C74" i="16"/>
  <c r="C39" i="17"/>
  <c r="C38" i="17"/>
  <c r="B37" i="17"/>
  <c r="G4" i="17" l="1"/>
  <c r="H4" i="17" s="1"/>
  <c r="I4" i="17" s="1"/>
  <c r="J4" i="17" s="1"/>
  <c r="K4" i="17" s="1"/>
  <c r="L4" i="17" s="1"/>
  <c r="H3" i="16" l="1"/>
  <c r="I3" i="16" s="1"/>
  <c r="J3" i="16" s="1"/>
  <c r="K3" i="16" s="1"/>
  <c r="L3" i="16" s="1"/>
  <c r="M3" i="16" s="1"/>
  <c r="C11" i="16" l="1"/>
  <c r="C10" i="16"/>
  <c r="C45" i="15"/>
  <c r="C44" i="15"/>
  <c r="B27" i="15"/>
  <c r="B26" i="15"/>
  <c r="B25" i="15"/>
  <c r="B24" i="15"/>
  <c r="C16" i="15"/>
  <c r="C15" i="15"/>
  <c r="C14" i="15"/>
  <c r="C13" i="15"/>
  <c r="B13" i="15"/>
  <c r="B14" i="15" s="1"/>
  <c r="C12" i="15"/>
  <c r="D11" i="15"/>
  <c r="C9" i="15"/>
  <c r="H3" i="15"/>
  <c r="I3" i="15" s="1"/>
  <c r="J3" i="15" s="1"/>
  <c r="K3" i="15" s="1"/>
  <c r="L3" i="15" s="1"/>
  <c r="M3" i="15" s="1"/>
  <c r="E74" i="8"/>
  <c r="C35" i="14"/>
  <c r="C34" i="14"/>
  <c r="C33" i="14"/>
  <c r="C32" i="14"/>
  <c r="D29" i="14"/>
  <c r="D28" i="14"/>
  <c r="D27" i="14"/>
  <c r="D26" i="14"/>
  <c r="E23" i="14"/>
  <c r="C23" i="14"/>
  <c r="E22" i="14"/>
  <c r="D17" i="14"/>
  <c r="D16" i="14"/>
  <c r="D15" i="14"/>
  <c r="C15" i="14"/>
  <c r="C16" i="14" s="1"/>
  <c r="C17" i="14" s="1"/>
  <c r="D14" i="14"/>
  <c r="H4" i="14"/>
  <c r="I4" i="14" s="1"/>
  <c r="J4" i="14" s="1"/>
  <c r="K4" i="14" s="1"/>
  <c r="L4" i="14" s="1"/>
  <c r="M4" i="14" s="1"/>
  <c r="N4" i="14" s="1"/>
  <c r="O4" i="14" s="1"/>
  <c r="P4" i="14" s="1"/>
  <c r="Q4" i="14" s="1"/>
  <c r="R4" i="14" s="1"/>
  <c r="S4" i="14" s="1"/>
  <c r="T4" i="14" s="1"/>
  <c r="U4" i="14" s="1"/>
  <c r="V4" i="14" s="1"/>
  <c r="D19" i="13"/>
  <c r="G4" i="13"/>
  <c r="H4" i="13" s="1"/>
  <c r="I4" i="13" s="1"/>
  <c r="J4" i="13" s="1"/>
  <c r="K4" i="13" s="1"/>
  <c r="L4" i="13" s="1"/>
  <c r="B15" i="15" l="1"/>
  <c r="B11" i="15" s="1"/>
  <c r="D23" i="14"/>
  <c r="C32" i="12" l="1"/>
  <c r="C31" i="12"/>
  <c r="C30" i="12"/>
  <c r="C29" i="12"/>
  <c r="D26" i="12"/>
  <c r="D25" i="12"/>
  <c r="D24" i="12"/>
  <c r="D23" i="12"/>
  <c r="D20" i="12" s="1"/>
  <c r="E20" i="12"/>
  <c r="C20" i="12"/>
  <c r="E19" i="12"/>
  <c r="D15" i="12"/>
  <c r="D14" i="12"/>
  <c r="D13" i="12"/>
  <c r="C13" i="12"/>
  <c r="C14" i="12" s="1"/>
  <c r="C15" i="12" s="1"/>
  <c r="D12" i="12"/>
  <c r="E7" i="12"/>
  <c r="H4" i="12"/>
  <c r="I4" i="12" s="1"/>
  <c r="J4" i="12" s="1"/>
  <c r="K4" i="12" s="1"/>
  <c r="L4" i="12" s="1"/>
  <c r="M4" i="12" s="1"/>
  <c r="N4" i="12" s="1"/>
  <c r="O4" i="12" s="1"/>
  <c r="P4" i="12" s="1"/>
  <c r="Q4" i="12" s="1"/>
  <c r="R4" i="12" s="1"/>
  <c r="S4" i="12" s="1"/>
  <c r="T4" i="12" s="1"/>
  <c r="U4" i="12" s="1"/>
  <c r="V4" i="12" s="1"/>
  <c r="E7" i="10"/>
  <c r="F75" i="11"/>
  <c r="F73" i="11"/>
  <c r="F72" i="11"/>
  <c r="F71" i="11"/>
  <c r="F66" i="11"/>
  <c r="F64" i="11"/>
  <c r="F63" i="11"/>
  <c r="F62" i="11"/>
  <c r="F54" i="11"/>
  <c r="G54" i="11" s="1"/>
  <c r="F53" i="11"/>
  <c r="F52" i="11"/>
  <c r="F51" i="11"/>
  <c r="G51" i="11" s="1"/>
  <c r="F50" i="11"/>
  <c r="G50" i="11" s="1"/>
  <c r="F49" i="11"/>
  <c r="G49" i="11" s="1"/>
  <c r="F47" i="11"/>
  <c r="G46" i="11"/>
  <c r="F46" i="11"/>
  <c r="F45" i="11"/>
  <c r="G45" i="11" s="1"/>
  <c r="F44" i="11"/>
  <c r="G44" i="11" s="1"/>
  <c r="F43" i="11"/>
  <c r="G43" i="11" s="1"/>
  <c r="G42" i="11"/>
  <c r="F42" i="11"/>
  <c r="F41" i="11"/>
  <c r="D35" i="11"/>
  <c r="D34" i="11"/>
  <c r="F33" i="11"/>
  <c r="F32" i="11"/>
  <c r="F31" i="11"/>
  <c r="F30" i="11"/>
  <c r="F29" i="11"/>
  <c r="F28" i="11"/>
  <c r="F27" i="11"/>
  <c r="F26" i="11"/>
  <c r="F25" i="11"/>
  <c r="F24" i="11"/>
  <c r="F23" i="11"/>
  <c r="F22" i="11"/>
  <c r="F21" i="11"/>
  <c r="F20" i="11"/>
  <c r="F19" i="11"/>
  <c r="F18" i="11"/>
  <c r="F17" i="11"/>
  <c r="F16" i="11"/>
  <c r="F15" i="11"/>
  <c r="F14" i="11"/>
  <c r="F13" i="11"/>
  <c r="F12" i="11"/>
  <c r="F11" i="11"/>
  <c r="F10" i="11"/>
  <c r="F9" i="11"/>
  <c r="F8" i="11"/>
  <c r="F7" i="11"/>
  <c r="F6" i="11"/>
  <c r="F5" i="11"/>
  <c r="F4" i="11"/>
  <c r="C32" i="10"/>
  <c r="C31" i="10"/>
  <c r="C30" i="10"/>
  <c r="C29" i="10"/>
  <c r="D26" i="10"/>
  <c r="D25" i="10"/>
  <c r="D24" i="10"/>
  <c r="D23" i="10"/>
  <c r="D20" i="10" s="1"/>
  <c r="E20" i="10"/>
  <c r="C20" i="10"/>
  <c r="E19" i="10"/>
  <c r="D16" i="10"/>
  <c r="D15" i="10"/>
  <c r="D14" i="10"/>
  <c r="C14" i="10"/>
  <c r="C15" i="10" s="1"/>
  <c r="C16" i="10" s="1"/>
  <c r="D13" i="10"/>
  <c r="E10" i="10"/>
  <c r="E9" i="10"/>
  <c r="E8" i="10"/>
  <c r="I4" i="10"/>
  <c r="J4" i="10" s="1"/>
  <c r="K4" i="10" s="1"/>
  <c r="L4" i="10" s="1"/>
  <c r="M4" i="10" s="1"/>
  <c r="N4" i="10" s="1"/>
  <c r="O4" i="10" s="1"/>
  <c r="P4" i="10" s="1"/>
  <c r="Q4" i="10" s="1"/>
  <c r="R4" i="10" s="1"/>
  <c r="S4" i="10" s="1"/>
  <c r="T4" i="10" s="1"/>
  <c r="U4" i="10" s="1"/>
  <c r="V4" i="10" s="1"/>
  <c r="H4" i="10"/>
  <c r="C38" i="9"/>
  <c r="C37" i="9"/>
  <c r="C36" i="9"/>
  <c r="C35" i="9"/>
  <c r="H4" i="9"/>
  <c r="I4" i="9" s="1"/>
  <c r="J4" i="9" s="1"/>
  <c r="K4" i="9" s="1"/>
  <c r="L4" i="9" s="1"/>
  <c r="M4" i="9" s="1"/>
  <c r="N4" i="9" s="1"/>
  <c r="O4" i="9" s="1"/>
  <c r="P4" i="9" s="1"/>
  <c r="Q4" i="9" s="1"/>
  <c r="R4" i="9" s="1"/>
  <c r="S4" i="9" s="1"/>
  <c r="T4" i="9" s="1"/>
  <c r="U4" i="9" s="1"/>
  <c r="V4" i="9" s="1"/>
  <c r="D35" i="8"/>
  <c r="D31" i="8"/>
  <c r="D30" i="8"/>
  <c r="D29" i="8"/>
  <c r="D28" i="8"/>
  <c r="D26" i="8"/>
  <c r="D13" i="8"/>
  <c r="D14" i="8"/>
  <c r="D16" i="8"/>
  <c r="D17" i="8"/>
  <c r="D18" i="8"/>
  <c r="D19" i="8"/>
  <c r="C40" i="8"/>
  <c r="C39" i="8"/>
  <c r="C38" i="8"/>
  <c r="C37" i="8"/>
  <c r="E27" i="8"/>
  <c r="C17" i="8"/>
  <c r="C18" i="8" s="1"/>
  <c r="E15" i="8"/>
  <c r="H4" i="8"/>
  <c r="I4" i="8" s="1"/>
  <c r="J4" i="8" s="1"/>
  <c r="K4" i="8" s="1"/>
  <c r="L4" i="8" s="1"/>
  <c r="M4" i="8" s="1"/>
  <c r="N4" i="8" s="1"/>
  <c r="O4" i="8" s="1"/>
  <c r="P4" i="8" s="1"/>
  <c r="Q4" i="8" s="1"/>
  <c r="R4" i="8" s="1"/>
  <c r="S4" i="8" s="1"/>
  <c r="T4" i="8" s="1"/>
  <c r="U4" i="8" s="1"/>
  <c r="V4" i="8" s="1"/>
  <c r="E8" i="6"/>
  <c r="E19" i="6"/>
  <c r="E10" i="6"/>
  <c r="E9" i="6"/>
  <c r="E8" i="5"/>
  <c r="E7" i="6"/>
  <c r="F75" i="7"/>
  <c r="F73" i="7"/>
  <c r="F72" i="7"/>
  <c r="F71" i="7"/>
  <c r="F66" i="7"/>
  <c r="F64" i="7"/>
  <c r="F63" i="7"/>
  <c r="F62" i="7"/>
  <c r="F58" i="7"/>
  <c r="F57" i="7"/>
  <c r="F56" i="7"/>
  <c r="F55" i="7"/>
  <c r="F54" i="7"/>
  <c r="G54" i="7" s="1"/>
  <c r="F52" i="7"/>
  <c r="F51" i="7"/>
  <c r="G51" i="7" s="1"/>
  <c r="F50" i="7"/>
  <c r="G50" i="7" s="1"/>
  <c r="F49" i="7"/>
  <c r="G49" i="7" s="1"/>
  <c r="F48" i="7"/>
  <c r="F47" i="7"/>
  <c r="G46" i="7"/>
  <c r="F46" i="7"/>
  <c r="F45" i="7"/>
  <c r="G45" i="7" s="1"/>
  <c r="F44" i="7"/>
  <c r="G44" i="7" s="1"/>
  <c r="F43" i="7"/>
  <c r="G43" i="7" s="1"/>
  <c r="F42" i="7"/>
  <c r="G42" i="7" s="1"/>
  <c r="F41" i="7"/>
  <c r="D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C32" i="6"/>
  <c r="C31" i="6"/>
  <c r="C30" i="6"/>
  <c r="C29" i="6"/>
  <c r="D26" i="6"/>
  <c r="D25" i="6"/>
  <c r="D24" i="6"/>
  <c r="D23" i="6"/>
  <c r="E20" i="6"/>
  <c r="C20" i="6"/>
  <c r="D16" i="6"/>
  <c r="D15" i="6"/>
  <c r="D14" i="6"/>
  <c r="C14" i="6"/>
  <c r="C15" i="6" s="1"/>
  <c r="D13" i="6"/>
  <c r="H4" i="6"/>
  <c r="I4" i="6" s="1"/>
  <c r="J4" i="6" s="1"/>
  <c r="K4" i="6" s="1"/>
  <c r="L4" i="6" s="1"/>
  <c r="M4" i="6" s="1"/>
  <c r="N4" i="6" s="1"/>
  <c r="O4" i="6" s="1"/>
  <c r="P4" i="6" s="1"/>
  <c r="Q4" i="6" s="1"/>
  <c r="R4" i="6" s="1"/>
  <c r="S4" i="6" s="1"/>
  <c r="T4" i="6" s="1"/>
  <c r="U4" i="6" s="1"/>
  <c r="V4" i="6" s="1"/>
  <c r="C19" i="8" l="1"/>
  <c r="C15" i="8" s="1"/>
  <c r="D20" i="6"/>
  <c r="C16" i="6"/>
  <c r="E37" i="5" l="1"/>
  <c r="D37" i="5"/>
  <c r="C37" i="5"/>
  <c r="E12" i="5"/>
  <c r="H4" i="5"/>
  <c r="I4" i="5" s="1"/>
  <c r="J4" i="5" s="1"/>
  <c r="K4" i="5" s="1"/>
  <c r="L4" i="5" s="1"/>
  <c r="M4" i="5" s="1"/>
  <c r="N4" i="5" s="1"/>
  <c r="O4" i="5" s="1"/>
  <c r="P4" i="5" s="1"/>
  <c r="Q4" i="5" s="1"/>
  <c r="R4" i="5" s="1"/>
  <c r="S4" i="5" s="1"/>
  <c r="T4" i="5" s="1"/>
  <c r="U4" i="5" s="1"/>
  <c r="V4" i="5" s="1"/>
  <c r="D115" i="5"/>
  <c r="D114" i="5"/>
  <c r="D113" i="5"/>
  <c r="D112" i="5"/>
  <c r="D111" i="5"/>
  <c r="D109" i="5"/>
  <c r="D108" i="5"/>
  <c r="D107" i="5"/>
  <c r="D106" i="5"/>
  <c r="D105" i="5"/>
  <c r="D103" i="5"/>
  <c r="D101" i="5"/>
  <c r="D99" i="5"/>
  <c r="D98" i="5"/>
  <c r="D97" i="5"/>
  <c r="D96" i="5"/>
  <c r="D95" i="5"/>
  <c r="D93" i="5"/>
  <c r="D91" i="5"/>
  <c r="D90" i="5"/>
  <c r="D88" i="5"/>
  <c r="D86" i="5"/>
  <c r="D85" i="5"/>
  <c r="D84" i="5"/>
  <c r="D83" i="5"/>
  <c r="D80" i="5"/>
  <c r="D78" i="5"/>
  <c r="D76" i="5"/>
  <c r="D75" i="5"/>
  <c r="D74" i="5"/>
  <c r="D73" i="5"/>
  <c r="D71" i="5"/>
  <c r="D70" i="5"/>
  <c r="D68" i="5"/>
  <c r="D67" i="5"/>
  <c r="D66" i="5"/>
  <c r="D62" i="5"/>
  <c r="D61" i="5"/>
  <c r="D60" i="5"/>
  <c r="D59" i="5"/>
  <c r="D56" i="5"/>
  <c r="D54" i="5"/>
  <c r="D52" i="5"/>
  <c r="D50" i="5"/>
  <c r="D48" i="5"/>
  <c r="D47" i="5"/>
  <c r="D45" i="5"/>
  <c r="C38" i="5"/>
  <c r="C41" i="5"/>
  <c r="C40" i="5"/>
  <c r="D34" i="5"/>
  <c r="C39" i="5"/>
  <c r="D33" i="5"/>
  <c r="E32" i="5"/>
  <c r="D31" i="5"/>
  <c r="D30" i="5"/>
  <c r="E27" i="5"/>
  <c r="C27" i="5"/>
  <c r="D26" i="5"/>
  <c r="D25" i="5"/>
  <c r="E23" i="5"/>
  <c r="D23" i="5"/>
  <c r="D20" i="5"/>
  <c r="D19" i="5"/>
  <c r="D18" i="5"/>
  <c r="D17" i="5"/>
  <c r="D16" i="5"/>
  <c r="D15" i="5"/>
  <c r="D14" i="5"/>
  <c r="C14" i="5"/>
  <c r="C15" i="5" s="1"/>
  <c r="C16" i="5" s="1"/>
  <c r="D13" i="5"/>
  <c r="D12" i="5" s="1"/>
  <c r="D11" i="5"/>
  <c r="D10" i="5"/>
  <c r="D8" i="5"/>
  <c r="C12" i="5" l="1"/>
  <c r="D32" i="5"/>
  <c r="C32" i="5"/>
  <c r="D27" i="5"/>
  <c r="D27" i="8" l="1"/>
  <c r="D15" i="8" l="1"/>
  <c r="G6" i="21"/>
  <c r="J6" i="21" s="1"/>
  <c r="H7" i="21"/>
  <c r="I7" i="21" s="1"/>
  <c r="J7" i="21" s="1"/>
  <c r="G7" i="21"/>
  <c r="H16" i="21"/>
  <c r="I16" i="21" s="1"/>
  <c r="J16" i="21" s="1"/>
  <c r="G16" i="21"/>
  <c r="H9" i="21"/>
  <c r="I9" i="21" s="1"/>
  <c r="J9" i="21" s="1"/>
  <c r="H15" i="21"/>
  <c r="I15" i="21" s="1"/>
  <c r="J15" i="21" s="1"/>
  <c r="H11" i="21"/>
  <c r="I11" i="21" s="1"/>
  <c r="J11" i="21" s="1"/>
  <c r="H12" i="21"/>
  <c r="I12" i="21" s="1"/>
  <c r="J12" i="21" s="1"/>
  <c r="G12" i="21"/>
  <c r="H14" i="21"/>
  <c r="I14" i="21" s="1"/>
  <c r="J14" i="21" s="1"/>
  <c r="H13" i="21"/>
  <c r="I13" i="21" s="1"/>
  <c r="J13" i="21" s="1"/>
  <c r="H10" i="21"/>
  <c r="I10" i="21" s="1"/>
  <c r="J10" i="21" s="1"/>
  <c r="G11" i="21"/>
  <c r="G10" i="21"/>
  <c r="G14" i="21"/>
  <c r="G9" i="21"/>
  <c r="G15" i="21"/>
  <c r="G13" i="21"/>
  <c r="H8" i="21"/>
  <c r="I8" i="21" s="1"/>
  <c r="J8" i="21" s="1"/>
  <c r="G8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tc={2BF91CA7-2FB6-40CC-93E6-F1D9F8F412D9}</author>
    <author>tc={3D9C1ADA-44A0-4F37-B895-7CDDA8C8E7FF}</author>
  </authors>
  <commentList>
    <comment ref="F4" authorId="0" shapeId="0" xr:uid="{2BF91CA7-2FB6-40CC-93E6-F1D9F8F412D9}">
      <text>
        <t>[Threaded comment]
Your version of Excel allows you to read this threaded comment; however, any edits to it will get removed if the file is opened in a newer version of Excel. Learn more: https://go.microsoft.com/fwlink/?linkid=870924
Comment:
    Terrace 63 cum</t>
      </text>
    </comment>
    <comment ref="F41" authorId="1" shapeId="0" xr:uid="{3D9C1ADA-44A0-4F37-B895-7CDDA8C8E7FF}">
      <text>
        <t>[Threaded comment]
Your version of Excel allows you to read this threaded comment; however, any edits to it will get removed if the file is opened in a newer version of Excel. Learn more: https://go.microsoft.com/fwlink/?linkid=870924
Comment:
    Terrace 63 cum</t>
      </text>
    </comment>
  </commentList>
</comments>
</file>

<file path=xl/sharedStrings.xml><?xml version="1.0" encoding="utf-8"?>
<sst xmlns="http://schemas.openxmlformats.org/spreadsheetml/2006/main" count="1842" uniqueCount="424">
  <si>
    <t>PERIODS</t>
  </si>
  <si>
    <t>ACTIVITY</t>
  </si>
  <si>
    <t xml:space="preserve"> Period Highlight:</t>
  </si>
  <si>
    <t>PLAN START</t>
  </si>
  <si>
    <t>PERCENT COMPLETE</t>
  </si>
  <si>
    <t>Plan Duration</t>
  </si>
  <si>
    <t>Structure</t>
  </si>
  <si>
    <t>Finishes</t>
  </si>
  <si>
    <t>Brickwork</t>
  </si>
  <si>
    <t>Plaster</t>
  </si>
  <si>
    <t>Fire door frame &amp; shutter</t>
  </si>
  <si>
    <t>False Ceiling</t>
  </si>
  <si>
    <t>Lift facia granite</t>
  </si>
  <si>
    <t>SS Handrail</t>
  </si>
  <si>
    <t>Above Terrace</t>
  </si>
  <si>
    <t>OHT Waterproofing &amp; Tiling</t>
  </si>
  <si>
    <t>LMR</t>
  </si>
  <si>
    <t>Terrace Waterproofing&amp;HRT Tiles</t>
  </si>
  <si>
    <t>Pedestals</t>
  </si>
  <si>
    <t>Polycarbonate Sheet</t>
  </si>
  <si>
    <t>Elevation A</t>
  </si>
  <si>
    <t>Elevation B</t>
  </si>
  <si>
    <t>Elevation C</t>
  </si>
  <si>
    <t>Elevation D</t>
  </si>
  <si>
    <t>PHE Piping</t>
  </si>
  <si>
    <t>HVAC Ducting</t>
  </si>
  <si>
    <t>Rising Main Installation</t>
  </si>
  <si>
    <t>Cable Tray &amp; Raceway installation</t>
  </si>
  <si>
    <t>Lift Installation</t>
  </si>
  <si>
    <t>External Stone Cladding</t>
  </si>
  <si>
    <t>Structural Glazing</t>
  </si>
  <si>
    <t>Target Date</t>
  </si>
  <si>
    <t>% Complete</t>
  </si>
  <si>
    <t>Electrical</t>
  </si>
  <si>
    <t>Cable Tray Installation</t>
  </si>
  <si>
    <t>PHE</t>
  </si>
  <si>
    <t>CI Pipiing</t>
  </si>
  <si>
    <t>GI Piping</t>
  </si>
  <si>
    <t>HVAC</t>
  </si>
  <si>
    <t>Ducting &amp; Insulation</t>
  </si>
  <si>
    <t>Piping installation</t>
  </si>
  <si>
    <t>Firefighting</t>
  </si>
  <si>
    <t>ELV</t>
  </si>
  <si>
    <t>MGPS</t>
  </si>
  <si>
    <t>Copper Pipning</t>
  </si>
  <si>
    <t>PTTS</t>
  </si>
  <si>
    <t>Wiring</t>
  </si>
  <si>
    <t>Cable Laying &amp; Panel Installation</t>
  </si>
  <si>
    <t>UPS Installation</t>
  </si>
  <si>
    <t>DB Dresssing</t>
  </si>
  <si>
    <t>Cister&amp; Sensor Fixing</t>
  </si>
  <si>
    <t>Duct testinfg &amp; dropper for diffusere</t>
  </si>
  <si>
    <t>Pipe Testing</t>
  </si>
  <si>
    <t>AHU Connection</t>
  </si>
  <si>
    <t>Sprinkler Flexible connection &amp; testing</t>
  </si>
  <si>
    <t>Wet Riser &amp; FHC installation</t>
  </si>
  <si>
    <t>CAT 6 cabling</t>
  </si>
  <si>
    <t>PA &amp; FAS cabling</t>
  </si>
  <si>
    <t>Fire Panel Installation</t>
  </si>
  <si>
    <t>Network Switch Installation &amp; connection</t>
  </si>
  <si>
    <t>Copper Pipe testing</t>
  </si>
  <si>
    <t>Pipe accessories fixing &amp; testing</t>
  </si>
  <si>
    <t>Cable termination &amp; panel testing</t>
  </si>
  <si>
    <t>UPS testing &amp; commissioning</t>
  </si>
  <si>
    <t>DB testing</t>
  </si>
  <si>
    <t>Fixtures Installation</t>
  </si>
  <si>
    <t>Diffuser Installation</t>
  </si>
  <si>
    <t>AHU Testing</t>
  </si>
  <si>
    <t>Sprinkler Fixing</t>
  </si>
  <si>
    <t>Fire Panel testing &amp; device addressing</t>
  </si>
  <si>
    <t>Network Switch testing</t>
  </si>
  <si>
    <t>QMS , HMIS , Biometric , etc.</t>
  </si>
  <si>
    <t>Outlet Installation</t>
  </si>
  <si>
    <t>PTTS station installation</t>
  </si>
  <si>
    <t>Aluminum Joineries</t>
  </si>
  <si>
    <t>Flooring &amp; Dado</t>
  </si>
  <si>
    <t>a) Ground Floor</t>
  </si>
  <si>
    <t>b) First Floor</t>
  </si>
  <si>
    <t>c) Second Floor</t>
  </si>
  <si>
    <t>d) Third Floor</t>
  </si>
  <si>
    <t>Courtyard Plaster inc. Ramp</t>
  </si>
  <si>
    <t>Ramp Flooring</t>
  </si>
  <si>
    <t>MEP</t>
  </si>
  <si>
    <t>Frist Fix</t>
  </si>
  <si>
    <t>Pipe installation</t>
  </si>
  <si>
    <t>Second Fix</t>
  </si>
  <si>
    <t>Final Fixture</t>
  </si>
  <si>
    <t>Switch Socket &amp; light fixture Installation</t>
  </si>
  <si>
    <t>Fire Alarm &amp; PA Device Fixing</t>
  </si>
  <si>
    <t>Telephone &amp; Data Socket Fixing</t>
  </si>
  <si>
    <t>Terrace</t>
  </si>
  <si>
    <t>PHE Piping installation</t>
  </si>
  <si>
    <t>Cable Tray, Raceway Installation &amp; cable laying</t>
  </si>
  <si>
    <t>Solar Panel Installation</t>
  </si>
  <si>
    <t>DDC Panel Installation</t>
  </si>
  <si>
    <t>Booster Panel Installation</t>
  </si>
  <si>
    <t>Shaft</t>
  </si>
  <si>
    <t>Remarks</t>
  </si>
  <si>
    <t>External (Shaft brickwork &amp; Plaster)</t>
  </si>
  <si>
    <t>UG Male Building Balance work Updated 17-09-2026</t>
  </si>
  <si>
    <t>SL no</t>
  </si>
  <si>
    <t>Activities</t>
  </si>
  <si>
    <t>UOM</t>
  </si>
  <si>
    <t>Scope</t>
  </si>
  <si>
    <t>Completed</t>
  </si>
  <si>
    <t>Balance</t>
  </si>
  <si>
    <t>Strike Date</t>
  </si>
  <si>
    <t>MEP Clearance</t>
  </si>
  <si>
    <t>Start Date</t>
  </si>
  <si>
    <t>Target completion date</t>
  </si>
  <si>
    <t>Brick work</t>
  </si>
  <si>
    <t>CUM</t>
  </si>
  <si>
    <t>in progress</t>
  </si>
  <si>
    <t xml:space="preserve"> Sand Plastering Internal</t>
  </si>
  <si>
    <t>Sqm</t>
  </si>
  <si>
    <t>20-10-26</t>
  </si>
  <si>
    <t xml:space="preserve">Only drinking area plaster </t>
  </si>
  <si>
    <t xml:space="preserve"> Sand Plastering External</t>
  </si>
  <si>
    <t>In progress at MFH area and 2 shaft at D elevation</t>
  </si>
  <si>
    <t xml:space="preserve">Gypsum Plaster </t>
  </si>
  <si>
    <t>30-09-26</t>
  </si>
  <si>
    <t>Repair work at skirting and dor jamb</t>
  </si>
  <si>
    <t>Granite sill Jamb DW1</t>
  </si>
  <si>
    <t>SQM</t>
  </si>
  <si>
    <t>6A</t>
  </si>
  <si>
    <t xml:space="preserve">Granite sill </t>
  </si>
  <si>
    <t>Nos</t>
  </si>
  <si>
    <t>15-10-26</t>
  </si>
  <si>
    <t>only fire door  &amp; shaft</t>
  </si>
  <si>
    <t>6B</t>
  </si>
  <si>
    <t>Granite sill window</t>
  </si>
  <si>
    <t>Granite Dado</t>
  </si>
  <si>
    <t>Front available, Waiting for material</t>
  </si>
  <si>
    <t>Granite Flooring</t>
  </si>
  <si>
    <t>8B</t>
  </si>
  <si>
    <t>Granite counter</t>
  </si>
  <si>
    <t>15-09-26</t>
  </si>
  <si>
    <t>work in progress</t>
  </si>
  <si>
    <t>Sub Frame - Door</t>
  </si>
  <si>
    <t>Door Frame Room</t>
  </si>
  <si>
    <t>Flooring Tile</t>
  </si>
  <si>
    <t>10A</t>
  </si>
  <si>
    <t>Tile grouting</t>
  </si>
  <si>
    <t>Skirting Tile</t>
  </si>
  <si>
    <t>RMT</t>
  </si>
  <si>
    <t>Dado Toilet &amp; Staircase</t>
  </si>
  <si>
    <t>Team Required &amp; IWC fixing pending all toilet, Juan Dark 450*300 &amp; yana dark 300* 450 tile not available in store</t>
  </si>
  <si>
    <t>Kota stone flooring</t>
  </si>
  <si>
    <t>Internal Painting</t>
  </si>
  <si>
    <t>1st coat putty in progress at 3rd floor</t>
  </si>
  <si>
    <t>External Painting</t>
  </si>
  <si>
    <t>20-11-26</t>
  </si>
  <si>
    <t>Team required</t>
  </si>
  <si>
    <t xml:space="preserve">False ceiling </t>
  </si>
  <si>
    <t>MEP Clearence require</t>
  </si>
  <si>
    <t>20-09-26</t>
  </si>
  <si>
    <t>As per site required height is not available</t>
  </si>
  <si>
    <t>Alu. Flush Door</t>
  </si>
  <si>
    <t>Material available</t>
  </si>
  <si>
    <t>WPC Door</t>
  </si>
  <si>
    <t>Bison Door</t>
  </si>
  <si>
    <t>front available</t>
  </si>
  <si>
    <t>Approval &amp; materal, team required</t>
  </si>
  <si>
    <t>Fire Door</t>
  </si>
  <si>
    <t>Front available</t>
  </si>
  <si>
    <t>fire rated tennical issue by client</t>
  </si>
  <si>
    <t>Alu. DW1</t>
  </si>
  <si>
    <t xml:space="preserve"> Front available</t>
  </si>
  <si>
    <t>material not available</t>
  </si>
  <si>
    <t>Alu.Windaw frame</t>
  </si>
  <si>
    <t>17B</t>
  </si>
  <si>
    <t>Alu. Flush Door DW1</t>
  </si>
  <si>
    <t>GRC MS frame</t>
  </si>
  <si>
    <t>16-09-26</t>
  </si>
  <si>
    <t>GR01 jali</t>
  </si>
  <si>
    <t>After Completion f External Plaster</t>
  </si>
  <si>
    <t>Balcony Handrail</t>
  </si>
  <si>
    <t xml:space="preserve">Need aproved GFC drawing </t>
  </si>
  <si>
    <t>Brick work below railing &amp; Outer Plaster</t>
  </si>
  <si>
    <t xml:space="preserve">After Fixing of railing </t>
  </si>
  <si>
    <t xml:space="preserve">waterproofing balcony </t>
  </si>
  <si>
    <t xml:space="preserve">Balcony Tiling </t>
  </si>
  <si>
    <t>Granite top</t>
  </si>
  <si>
    <t xml:space="preserve"> Terrace UG Male Building Balance work</t>
  </si>
  <si>
    <t>Padistal for MEP PHE&amp;HVAC - Rcc</t>
  </si>
  <si>
    <t xml:space="preserve">Padistal for MEP solar </t>
  </si>
  <si>
    <t>Waterpoofing</t>
  </si>
  <si>
    <t>Water tank waterprooging</t>
  </si>
  <si>
    <t>Water tank Tiling</t>
  </si>
  <si>
    <t>6oct.</t>
  </si>
  <si>
    <t>Door fixing</t>
  </si>
  <si>
    <t>Parapet Plaster</t>
  </si>
  <si>
    <t>15oct.</t>
  </si>
  <si>
    <t xml:space="preserve">Painting </t>
  </si>
  <si>
    <t>30oct.</t>
  </si>
  <si>
    <t>Manhole cover - Tank</t>
  </si>
  <si>
    <t>SS/ MS Handrail - LMR stair</t>
  </si>
  <si>
    <t>Ladder</t>
  </si>
  <si>
    <t>Parapet granite Top</t>
  </si>
  <si>
    <t>Dog house Brick work with cover slab</t>
  </si>
  <si>
    <t>MEP Pedistal - Brick work</t>
  </si>
  <si>
    <t>Above terrace painting work</t>
  </si>
  <si>
    <t xml:space="preserve"> Staircase  01 UG Male Building Balance work</t>
  </si>
  <si>
    <t>wip</t>
  </si>
  <si>
    <t>Skirting repair</t>
  </si>
  <si>
    <t>Reparing balance</t>
  </si>
  <si>
    <t>Kota stone Riser &amp; Trade</t>
  </si>
  <si>
    <t>SS/ MS Handrail</t>
  </si>
  <si>
    <t>Wall Dado</t>
  </si>
  <si>
    <t xml:space="preserve"> Staircase  02 UG Male Building Balance work</t>
  </si>
  <si>
    <t>ST-03</t>
  </si>
  <si>
    <t>ST-04</t>
  </si>
  <si>
    <t>Fascia Beam</t>
  </si>
  <si>
    <t>OHT&amp;Mummty</t>
  </si>
  <si>
    <t xml:space="preserve">External  </t>
  </si>
  <si>
    <t>Shaft brickwork</t>
  </si>
  <si>
    <t>UG Female Building Balance work Updated 10-09-2026</t>
  </si>
  <si>
    <t>dipendency external scaffolding Plumbing work</t>
  </si>
  <si>
    <t xml:space="preserve">The false ceiling material stored in the common room will need to be removed </t>
  </si>
  <si>
    <t>30-10-26</t>
  </si>
  <si>
    <t>Repair &amp; MFH area</t>
  </si>
  <si>
    <t xml:space="preserve">Repair </t>
  </si>
  <si>
    <t>aftter lift fixing</t>
  </si>
  <si>
    <t>after lift completion</t>
  </si>
  <si>
    <t>after lift fixing</t>
  </si>
  <si>
    <t>font available</t>
  </si>
  <si>
    <t>25-10-26</t>
  </si>
  <si>
    <t>Agency required</t>
  </si>
  <si>
    <t>;4646</t>
  </si>
  <si>
    <t>Skerting Tile</t>
  </si>
  <si>
    <t>15-09-25</t>
  </si>
  <si>
    <t>Kota stone reached</t>
  </si>
  <si>
    <t>15-11-26</t>
  </si>
  <si>
    <t>1st coat putty startrd</t>
  </si>
  <si>
    <t>team required</t>
  </si>
  <si>
    <t>Aproval pending</t>
  </si>
  <si>
    <t>materal and team required</t>
  </si>
  <si>
    <t>front available 25 no</t>
  </si>
  <si>
    <t>13-09-26</t>
  </si>
  <si>
    <t>front available 99 no</t>
  </si>
  <si>
    <t>25-09-26</t>
  </si>
  <si>
    <t>Bolcony Handrail</t>
  </si>
  <si>
    <t>25/09/1900</t>
  </si>
  <si>
    <t>25-10-2026</t>
  </si>
  <si>
    <t>Material not received</t>
  </si>
  <si>
    <t>26/09/1900</t>
  </si>
  <si>
    <t>26-10-2026</t>
  </si>
  <si>
    <t>waterproofing</t>
  </si>
  <si>
    <t>30-10-2026</t>
  </si>
  <si>
    <t xml:space="preserve">Tiling </t>
  </si>
  <si>
    <t>15-11-2026</t>
  </si>
  <si>
    <t xml:space="preserve"> Terrace UG Female Building Balance work</t>
  </si>
  <si>
    <t>Padistal for MEP PHE&amp;HVAC</t>
  </si>
  <si>
    <t>30-09-2026</t>
  </si>
  <si>
    <t>20-09-2026</t>
  </si>
  <si>
    <t>Team Required</t>
  </si>
  <si>
    <t>15-10-2026</t>
  </si>
  <si>
    <t>Manhole cover</t>
  </si>
  <si>
    <t>20-10-2026</t>
  </si>
  <si>
    <t>MEP Pedistal By Brick work</t>
  </si>
  <si>
    <t xml:space="preserve"> Staircase  01 UG Female Building Balance work</t>
  </si>
  <si>
    <t>Skerting repair</t>
  </si>
  <si>
    <t>16-09-2026</t>
  </si>
  <si>
    <t>Handrail</t>
  </si>
  <si>
    <t>Material required</t>
  </si>
  <si>
    <t xml:space="preserve"> Staircase  02 UG Female Building Balance work</t>
  </si>
  <si>
    <t>27-09-2026</t>
  </si>
  <si>
    <t>21-10-2026</t>
  </si>
  <si>
    <t>Materila required</t>
  </si>
  <si>
    <t>30-11-2026</t>
  </si>
  <si>
    <t>Doors</t>
  </si>
  <si>
    <t>Windows</t>
  </si>
  <si>
    <t>External Plaster</t>
  </si>
  <si>
    <t>Putty + Paint</t>
  </si>
  <si>
    <t>External Shaft</t>
  </si>
  <si>
    <t xml:space="preserve"> PHE Piping installation</t>
  </si>
  <si>
    <t>Structure Above terrace</t>
  </si>
  <si>
    <t>Parapet &amp; OHT</t>
  </si>
  <si>
    <t>Internal Plaster</t>
  </si>
  <si>
    <t>Lift lobby cladding</t>
  </si>
  <si>
    <t>Terrace waterproofing</t>
  </si>
  <si>
    <t>TYPE 5 BUILDING</t>
  </si>
  <si>
    <t>TYPE 4 BUILDING</t>
  </si>
  <si>
    <t>TYPE 3BUILDING</t>
  </si>
  <si>
    <t>UG FEMALE</t>
  </si>
  <si>
    <t>EMERGENCY BUILDING</t>
  </si>
  <si>
    <t>ACADEMIC BUILDING</t>
  </si>
  <si>
    <t>UG MALE</t>
  </si>
  <si>
    <t>OPD BUILDING</t>
  </si>
  <si>
    <t>12-0ct</t>
  </si>
  <si>
    <t>18-oct`</t>
  </si>
  <si>
    <t>Joineries</t>
  </si>
  <si>
    <t>Truss with Polycarbonate Sheet</t>
  </si>
  <si>
    <t>Terrace Waterproofing</t>
  </si>
  <si>
    <t>OHT</t>
  </si>
  <si>
    <t>External</t>
  </si>
  <si>
    <t>Fire Piping installation</t>
  </si>
  <si>
    <t>PTTS Pipe installation</t>
  </si>
  <si>
    <t>HVAC Pipe Testing</t>
  </si>
  <si>
    <t>OT Rooms</t>
  </si>
  <si>
    <t>Civil Work</t>
  </si>
  <si>
    <t>CSSD Room</t>
  </si>
  <si>
    <t>Main LT Panel Energisation</t>
  </si>
  <si>
    <t>Under deck Insulation</t>
  </si>
  <si>
    <t>PLAN / ACTUAL START</t>
  </si>
  <si>
    <t>TARGET DATE</t>
  </si>
  <si>
    <t>REMARKS</t>
  </si>
  <si>
    <t xml:space="preserve">70% material is available at site. </t>
  </si>
  <si>
    <t>Material Available</t>
  </si>
  <si>
    <t xml:space="preserve">60% material is available at site. </t>
  </si>
  <si>
    <t>Material Delivery from 5th Nov</t>
  </si>
  <si>
    <t>Over Head Tank</t>
  </si>
  <si>
    <t>Work in progress</t>
  </si>
  <si>
    <t>Truss erected
Polycarbonate Material Available</t>
  </si>
  <si>
    <t>Façade &amp; Stone available at site</t>
  </si>
  <si>
    <t>Material Delivery by 25th Oct</t>
  </si>
  <si>
    <t>Material Delivery by 15th Oct</t>
  </si>
  <si>
    <t>Mechanical Electrical Plumbing ( MEP)</t>
  </si>
  <si>
    <t>First Fixtures</t>
  </si>
  <si>
    <t>MGPS Copper Piping</t>
  </si>
  <si>
    <t>Cable Laying &amp; Panel Instt.</t>
  </si>
  <si>
    <t>Material delivery by  5th Oct</t>
  </si>
  <si>
    <t>Cistern &amp; Sensor Fixing</t>
  </si>
  <si>
    <t>Dropper Installation</t>
  </si>
  <si>
    <t>Material delivery by  10th Oct.</t>
  </si>
  <si>
    <t xml:space="preserve">Network Switch </t>
  </si>
  <si>
    <t>e.g., Light switch, sanitary, WC, etc.</t>
  </si>
  <si>
    <t xml:space="preserve">Final Fixture </t>
  </si>
  <si>
    <t>Lift Installation with slow speed</t>
  </si>
  <si>
    <t xml:space="preserve">2 No.s </t>
  </si>
  <si>
    <t>3 No.s</t>
  </si>
  <si>
    <t xml:space="preserve">1 No. </t>
  </si>
  <si>
    <t>ESS1 to OPD Cable Laying</t>
  </si>
  <si>
    <t>Material delivery by 30th Oct.</t>
  </si>
  <si>
    <t>Rising Main</t>
  </si>
  <si>
    <t>Material delivery by 25th Oct</t>
  </si>
  <si>
    <t>Testing with Permanent Power / Completion</t>
  </si>
  <si>
    <t xml:space="preserve">Lift </t>
  </si>
  <si>
    <t>Fire Control System</t>
  </si>
  <si>
    <t>IT/Data Services</t>
  </si>
  <si>
    <t>HVAC System</t>
  </si>
  <si>
    <t>Interior Works</t>
  </si>
  <si>
    <t>Material delivery from 20th Oct.</t>
  </si>
  <si>
    <t>Permanent Power</t>
  </si>
  <si>
    <t>Truss &amp; Polycarbonate Sheet</t>
  </si>
  <si>
    <t xml:space="preserve">Lift lobby </t>
  </si>
  <si>
    <t>Ground Floor ( 2 Nos.)</t>
  </si>
  <si>
    <t>2nd Floor (2 Nos.)</t>
  </si>
  <si>
    <t>3rd Floor (12 Nos.)</t>
  </si>
  <si>
    <t>CI/Gi Piping</t>
  </si>
  <si>
    <t xml:space="preserve">e.g., switch socket and light fixtures, Fire Alarm &amp; PA devices, etc.  </t>
  </si>
  <si>
    <t>2 Nos.</t>
  </si>
  <si>
    <t>1 Nos.</t>
  </si>
  <si>
    <t>ESS1 to EMR Cable laying</t>
  </si>
  <si>
    <t>Material delivery from 15th Nov</t>
  </si>
  <si>
    <t>Material delivery from 5th Nov.</t>
  </si>
  <si>
    <t>OT Works</t>
  </si>
  <si>
    <t>CI/GI Piping</t>
  </si>
  <si>
    <t>Lift Lobby Cladding</t>
  </si>
  <si>
    <t>ESS1 to Academic Cable Laying</t>
  </si>
  <si>
    <t>Service Oriented Work</t>
  </si>
  <si>
    <t>2 Nos. (Dumb waiter)</t>
  </si>
  <si>
    <t>Material delivery by 25th Oct.</t>
  </si>
  <si>
    <t>Staircase - Head Room</t>
  </si>
  <si>
    <t>Truss erected. Sheet fixing works in progress</t>
  </si>
  <si>
    <t>Civil Clearance given. Mat Avl.</t>
  </si>
  <si>
    <t>PERCENT COMPLETE ON 24.9.26</t>
  </si>
  <si>
    <t>PERCENT COMPLETE ON 29.9.26</t>
  </si>
  <si>
    <t>% COMPLETE ON 24.09.26</t>
  </si>
  <si>
    <t>% COMPLETE ON 29.09.26</t>
  </si>
  <si>
    <t xml:space="preserve">OPD BUILDING - 483 Workmen </t>
  </si>
  <si>
    <t>EMERGENCY BUILDING - 396 Workmen</t>
  </si>
  <si>
    <t>OPD (G+3)</t>
  </si>
  <si>
    <t>Brickwork (Shaft Only)</t>
  </si>
  <si>
    <t>FLOOR</t>
  </si>
  <si>
    <t>Plastering</t>
  </si>
  <si>
    <t>GF</t>
  </si>
  <si>
    <t>Doors &amp; Windows</t>
  </si>
  <si>
    <t>FF</t>
  </si>
  <si>
    <t>Flooring &amp; Cladding</t>
  </si>
  <si>
    <t xml:space="preserve">SF </t>
  </si>
  <si>
    <t>TF</t>
  </si>
  <si>
    <t>Toilets</t>
  </si>
  <si>
    <t>Lift works</t>
  </si>
  <si>
    <t>External Finishes</t>
  </si>
  <si>
    <t>Interior works &amp; SS Handrail</t>
  </si>
  <si>
    <t>Power ON</t>
  </si>
  <si>
    <t>HVAC Works</t>
  </si>
  <si>
    <t>EMR (G+3)</t>
  </si>
  <si>
    <t>Lift Works</t>
  </si>
  <si>
    <t>CSSD</t>
  </si>
  <si>
    <t>OT Works / ICU</t>
  </si>
  <si>
    <t>Asking Rate</t>
  </si>
  <si>
    <t>No. of workmen Needed</t>
  </si>
  <si>
    <t>No. of workmen available</t>
  </si>
  <si>
    <t>cum</t>
  </si>
  <si>
    <t>sqm</t>
  </si>
  <si>
    <t>No.</t>
  </si>
  <si>
    <t>Rm</t>
  </si>
  <si>
    <t>MS framing</t>
  </si>
  <si>
    <t>Stone Cladding</t>
  </si>
  <si>
    <t>Glazing</t>
  </si>
  <si>
    <t>Paint</t>
  </si>
  <si>
    <t>-</t>
  </si>
  <si>
    <t>lot</t>
  </si>
  <si>
    <t>rm</t>
  </si>
  <si>
    <t>SCOPE</t>
  </si>
  <si>
    <t>Manpower Needed</t>
  </si>
  <si>
    <t>Manpower Available</t>
  </si>
  <si>
    <t>% Achieved</t>
  </si>
  <si>
    <t>False ceiling - GF</t>
  </si>
  <si>
    <t>False ceiling - FF</t>
  </si>
  <si>
    <t>False ceiling - SF</t>
  </si>
  <si>
    <t>False ceiling - TF</t>
  </si>
  <si>
    <t>Will start from 12th Oct</t>
  </si>
  <si>
    <t>Drawings &amp; TDS under review</t>
  </si>
  <si>
    <t>MS Canopy foundation WIP</t>
  </si>
  <si>
    <t>Mockup works in progress</t>
  </si>
  <si>
    <t>Backfilling Works in progress</t>
  </si>
  <si>
    <t>Cum</t>
  </si>
  <si>
    <t>Lot</t>
  </si>
  <si>
    <t>Achieved till on 9th Oct</t>
  </si>
  <si>
    <t>Drawings will be submitted by 10th Oct</t>
  </si>
  <si>
    <t>Achieved till 9th 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</si>
</sst>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d\-mmm;@"/>
    <numFmt numFmtId="165" formatCode="[$-409]d/mmm/yy;@"/>
    <numFmt numFmtId="166" formatCode="[$-14009]d/m/yy;@"/>
    <numFmt numFmtId="167" formatCode="[$-14009]dd/mm/yy;@"/>
    <numFmt numFmtId="168" formatCode="[$-409]dd\-mmm\-yy;@"/>
  </numFmts>
  <fonts count="41" x14ac:knownFonts="1">
    <font>
      <sz val="11"/>
      <color theme="1" tint="0.24994659260841701"/>
      <name val="Corbel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b/>
      <sz val="18"/>
      <color theme="1" tint="0.24994659260841701"/>
      <name val="Times New Roman"/>
      <family val="1"/>
    </font>
    <font>
      <sz val="18"/>
      <color theme="1" tint="0.24994659260841701"/>
      <name val="Times New Roman"/>
      <family val="1"/>
    </font>
    <font>
      <b/>
      <sz val="18"/>
      <color theme="7"/>
      <name val="Times New Roman"/>
      <family val="1"/>
    </font>
    <font>
      <b/>
      <sz val="14"/>
      <color theme="1" tint="0.24994659260841701"/>
      <name val="Times New Roman"/>
      <family val="1"/>
    </font>
    <font>
      <b/>
      <sz val="24"/>
      <color theme="7"/>
      <name val="Corbel"/>
      <family val="2"/>
      <scheme val="major"/>
    </font>
    <font>
      <sz val="12"/>
      <color theme="1" tint="0.24994659260841701"/>
      <name val="Amasis MT Pro Medium"/>
      <family val="1"/>
    </font>
    <font>
      <i/>
      <sz val="12"/>
      <color theme="7"/>
      <name val="Amasis MT Pro Medium"/>
      <family val="1"/>
    </font>
    <font>
      <b/>
      <sz val="12"/>
      <color theme="1" tint="0.24994659260841701"/>
      <name val="Amasis MT Pro Medium"/>
      <family val="1"/>
    </font>
    <font>
      <b/>
      <sz val="12"/>
      <color theme="1" tint="0.34998626667073579"/>
      <name val="Amasis MT Pro Medium"/>
      <family val="1"/>
    </font>
    <font>
      <sz val="14"/>
      <color theme="1" tint="0.24994659260841701"/>
      <name val="Times New Roman"/>
      <family val="1"/>
    </font>
    <font>
      <b/>
      <sz val="14"/>
      <color theme="7"/>
      <name val="Times New Roman"/>
      <family val="1"/>
    </font>
    <font>
      <b/>
      <sz val="14"/>
      <color theme="1" tint="0.24994659260841701"/>
      <name val="Calibri"/>
      <family val="2"/>
    </font>
    <font>
      <sz val="14"/>
      <color theme="1" tint="0.24994659260841701"/>
      <name val="Calibri"/>
      <family val="2"/>
    </font>
    <font>
      <b/>
      <sz val="14"/>
      <color theme="7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3"/>
      <color theme="7"/>
      <name val="Calibri"/>
      <family val="2"/>
    </font>
    <font>
      <b/>
      <sz val="12"/>
      <color theme="7"/>
      <name val="Times New Roman"/>
      <family val="1"/>
    </font>
    <font>
      <b/>
      <sz val="11"/>
      <color theme="1" tint="0.24994659260841701"/>
      <name val="Corbel"/>
      <family val="2"/>
      <scheme val="major"/>
    </font>
    <font>
      <b/>
      <sz val="42"/>
      <color theme="7"/>
      <name val="Tahoma"/>
      <family val="2"/>
    </font>
    <font>
      <b/>
      <sz val="24"/>
      <color theme="7"/>
      <name val="Tahoma"/>
      <family val="2"/>
    </font>
    <font>
      <b/>
      <sz val="14"/>
      <color rgb="FFFFFFFF"/>
      <name val="Trebuchet MS"/>
      <family val="2"/>
    </font>
    <font>
      <sz val="14"/>
      <color rgb="FF000000"/>
      <name val="Trebuchet MS"/>
      <family val="2"/>
    </font>
    <font>
      <sz val="14"/>
      <color rgb="FFFF0000"/>
      <name val="Trebuchet MS"/>
      <family val="2"/>
    </font>
    <font>
      <sz val="18"/>
      <color theme="1" tint="0.24994659260841701"/>
      <name val="Corbel"/>
      <family val="2"/>
      <scheme val="major"/>
    </font>
    <font>
      <b/>
      <sz val="12"/>
      <color theme="7"/>
      <name val="Corbel"/>
      <family val="2"/>
      <scheme val="major"/>
    </font>
    <font>
      <sz val="14"/>
      <color theme="1" tint="0.24994659260841701"/>
      <name val="Corbel"/>
      <family val="2"/>
      <scheme val="major"/>
    </font>
  </fonts>
  <fills count="23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4506668294322"/>
        <bgColor theme="7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3F72"/>
        <bgColor indexed="64"/>
      </patternFill>
    </fill>
    <fill>
      <patternFill patternType="solid">
        <fgColor rgb="FFE7F3F4"/>
        <bgColor indexed="64"/>
      </patternFill>
    </fill>
    <fill>
      <patternFill patternType="solid">
        <fgColor rgb="FFF3F9FA"/>
        <bgColor indexed="64"/>
      </patternFill>
    </fill>
  </fills>
  <borders count="33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23">
    <xf numFmtId="0" fontId="0" fillId="0" borderId="0" applyNumberFormat="0" applyFill="0" applyBorder="0" applyProtection="0">
      <alignment horizontal="center" vertical="center"/>
    </xf>
    <xf numFmtId="0" fontId="7" fillId="0" borderId="0" applyNumberFormat="0" applyFill="0" applyBorder="0" applyAlignment="0" applyProtection="0"/>
    <xf numFmtId="0" fontId="5" fillId="0" borderId="0" applyFill="0" applyBorder="0" applyProtection="0">
      <alignment horizontal="left" wrapText="1"/>
    </xf>
    <xf numFmtId="3" fontId="9" fillId="0" borderId="2" applyFill="0" applyProtection="0">
      <alignment horizontal="center"/>
    </xf>
    <xf numFmtId="0" fontId="9" fillId="0" borderId="0" applyFill="0" applyBorder="0" applyProtection="0">
      <alignment horizontal="center" wrapText="1"/>
    </xf>
    <xf numFmtId="0" fontId="4" fillId="0" borderId="0" applyNumberFormat="0" applyFill="0" applyBorder="0" applyProtection="0">
      <alignment horizontal="left" vertical="center"/>
    </xf>
    <xf numFmtId="9" fontId="6" fillId="0" borderId="0" applyFill="0" applyBorder="0" applyProtection="0">
      <alignment horizontal="center" vertical="center"/>
    </xf>
    <xf numFmtId="0" fontId="8" fillId="6" borderId="1" applyNumberFormat="0" applyProtection="0">
      <alignment horizontal="left" vertical="center"/>
    </xf>
    <xf numFmtId="0" fontId="7" fillId="0" borderId="0" applyNumberFormat="0" applyFill="0" applyBorder="0" applyProtection="0">
      <alignment vertical="center"/>
    </xf>
    <xf numFmtId="0" fontId="9" fillId="0" borderId="0" applyFill="0" applyProtection="0">
      <alignment vertical="center"/>
    </xf>
    <xf numFmtId="0" fontId="9" fillId="0" borderId="0" applyFill="0" applyProtection="0">
      <alignment horizontal="center" vertical="center" wrapText="1"/>
    </xf>
    <xf numFmtId="0" fontId="9" fillId="0" borderId="0" applyFill="0" applyProtection="0">
      <alignment horizontal="left"/>
    </xf>
    <xf numFmtId="0" fontId="11" fillId="0" borderId="0" applyNumberFormat="0" applyFill="0" applyBorder="0" applyProtection="0">
      <alignment vertical="center"/>
    </xf>
    <xf numFmtId="1" fontId="12" fillId="6" borderId="1">
      <alignment horizontal="center" vertical="center"/>
    </xf>
    <xf numFmtId="0" fontId="10" fillId="2" borderId="4" applyNumberFormat="0" applyFont="0" applyAlignment="0">
      <alignment horizontal="center"/>
    </xf>
    <xf numFmtId="0" fontId="10" fillId="3" borderId="3" applyNumberFormat="0" applyFont="0" applyAlignment="0">
      <alignment horizontal="center"/>
    </xf>
    <xf numFmtId="0" fontId="10" fillId="4" borderId="3" applyNumberFormat="0" applyFont="0" applyAlignment="0">
      <alignment horizontal="center"/>
    </xf>
    <xf numFmtId="0" fontId="10" fillId="5" borderId="3" applyNumberFormat="0" applyFont="0" applyAlignment="0">
      <alignment horizontal="center"/>
    </xf>
    <xf numFmtId="0" fontId="10" fillId="7" borderId="3" applyNumberFormat="0" applyFont="0" applyAlignment="0">
      <alignment horizontal="center"/>
    </xf>
    <xf numFmtId="0" fontId="3" fillId="0" borderId="0"/>
    <xf numFmtId="0" fontId="2" fillId="0" borderId="0"/>
    <xf numFmtId="0" fontId="1" fillId="0" borderId="0"/>
    <xf numFmtId="9" fontId="10" fillId="0" borderId="0" applyFont="0" applyFill="0" applyBorder="0" applyAlignment="0" applyProtection="0"/>
  </cellStyleXfs>
  <cellXfs count="285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5" fillId="0" borderId="0" xfId="2">
      <alignment horizontal="left" wrapText="1"/>
    </xf>
    <xf numFmtId="9" fontId="6" fillId="0" borderId="0" xfId="6">
      <alignment horizontal="center" vertical="center"/>
    </xf>
    <xf numFmtId="0" fontId="13" fillId="8" borderId="0" xfId="2" applyFont="1" applyFill="1" applyAlignment="1">
      <alignment horizontal="centerContinuous" vertical="center" wrapText="1"/>
    </xf>
    <xf numFmtId="0" fontId="14" fillId="8" borderId="0" xfId="0" applyFont="1" applyFill="1" applyAlignment="1">
      <alignment horizontal="centerContinuous" vertical="center"/>
    </xf>
    <xf numFmtId="9" fontId="15" fillId="8" borderId="0" xfId="6" applyFont="1" applyFill="1" applyAlignment="1">
      <alignment horizontal="centerContinuous" vertical="center"/>
    </xf>
    <xf numFmtId="0" fontId="14" fillId="8" borderId="8" xfId="0" applyFont="1" applyFill="1" applyBorder="1" applyAlignment="1">
      <alignment horizontal="centerContinuous" vertical="center"/>
    </xf>
    <xf numFmtId="0" fontId="13" fillId="8" borderId="8" xfId="2" applyFont="1" applyFill="1" applyBorder="1" applyAlignment="1">
      <alignment horizontal="centerContinuous" vertical="center" wrapText="1"/>
    </xf>
    <xf numFmtId="9" fontId="15" fillId="8" borderId="5" xfId="6" applyFont="1" applyFill="1" applyBorder="1" applyAlignment="1">
      <alignment horizontal="centerContinuous" vertical="center"/>
    </xf>
    <xf numFmtId="3" fontId="9" fillId="0" borderId="5" xfId="3" applyBorder="1">
      <alignment horizontal="center"/>
    </xf>
    <xf numFmtId="0" fontId="0" fillId="0" borderId="0" xfId="0" applyAlignment="1">
      <alignment vertical="center" wrapText="1"/>
    </xf>
    <xf numFmtId="0" fontId="21" fillId="0" borderId="8" xfId="11" applyFont="1" applyBorder="1">
      <alignment horizontal="left"/>
    </xf>
    <xf numFmtId="0" fontId="21" fillId="0" borderId="8" xfId="4" applyFont="1" applyBorder="1">
      <alignment horizontal="center" wrapText="1"/>
    </xf>
    <xf numFmtId="0" fontId="0" fillId="0" borderId="0" xfId="0" applyBorder="1">
      <alignment horizontal="center" vertical="center"/>
    </xf>
    <xf numFmtId="9" fontId="15" fillId="8" borderId="5" xfId="6" applyFont="1" applyFill="1" applyBorder="1">
      <alignment horizontal="center" vertical="center"/>
    </xf>
    <xf numFmtId="0" fontId="16" fillId="8" borderId="0" xfId="2" applyFont="1" applyFill="1" applyAlignment="1">
      <alignment horizontal="centerContinuous" vertical="center" wrapText="1"/>
    </xf>
    <xf numFmtId="0" fontId="22" fillId="8" borderId="0" xfId="0" applyFont="1" applyFill="1" applyAlignment="1">
      <alignment horizontal="centerContinuous" vertical="center"/>
    </xf>
    <xf numFmtId="9" fontId="23" fillId="8" borderId="0" xfId="6" applyFont="1" applyFill="1" applyAlignment="1">
      <alignment horizontal="centerContinuous" vertical="center"/>
    </xf>
    <xf numFmtId="16" fontId="14" fillId="8" borderId="5" xfId="0" applyNumberFormat="1" applyFont="1" applyFill="1" applyBorder="1" applyAlignment="1">
      <alignment horizontal="centerContinuous" vertical="center"/>
    </xf>
    <xf numFmtId="0" fontId="18" fillId="0" borderId="10" xfId="0" applyFont="1" applyBorder="1" applyAlignment="1">
      <alignment horizontal="center" wrapText="1"/>
    </xf>
    <xf numFmtId="0" fontId="18" fillId="0" borderId="0" xfId="5" applyFont="1" applyBorder="1" applyAlignment="1">
      <alignment vertical="center"/>
    </xf>
    <xf numFmtId="17" fontId="21" fillId="0" borderId="9" xfId="3" applyNumberFormat="1" applyFont="1" applyBorder="1" applyAlignment="1">
      <alignment horizontal="center" vertical="center"/>
    </xf>
    <xf numFmtId="164" fontId="21" fillId="0" borderId="9" xfId="3" applyNumberFormat="1" applyFont="1" applyBorder="1" applyAlignment="1">
      <alignment horizontal="center" vertical="center"/>
    </xf>
    <xf numFmtId="0" fontId="18" fillId="0" borderId="12" xfId="0" applyFont="1" applyBorder="1" applyAlignment="1">
      <alignment horizontal="center" wrapText="1"/>
    </xf>
    <xf numFmtId="0" fontId="24" fillId="0" borderId="0" xfId="2" applyFont="1" applyAlignment="1">
      <alignment horizontal="left" vertical="center" wrapText="1"/>
    </xf>
    <xf numFmtId="0" fontId="16" fillId="8" borderId="10" xfId="2" applyFont="1" applyFill="1" applyBorder="1" applyAlignment="1">
      <alignment horizontal="centerContinuous" vertical="center" wrapText="1"/>
    </xf>
    <xf numFmtId="0" fontId="22" fillId="8" borderId="10" xfId="0" applyFont="1" applyFill="1" applyBorder="1" applyAlignment="1">
      <alignment horizontal="centerContinuous" vertical="center"/>
    </xf>
    <xf numFmtId="9" fontId="23" fillId="8" borderId="10" xfId="6" applyFont="1" applyFill="1" applyBorder="1" applyAlignment="1">
      <alignment horizontal="centerContinuous" vertical="center"/>
    </xf>
    <xf numFmtId="0" fontId="24" fillId="10" borderId="0" xfId="2" applyFont="1" applyFill="1" applyAlignment="1">
      <alignment horizontal="centerContinuous" vertical="center" wrapText="1"/>
    </xf>
    <xf numFmtId="164" fontId="24" fillId="10" borderId="0" xfId="0" applyNumberFormat="1" applyFont="1" applyFill="1" applyAlignment="1">
      <alignment horizontal="centerContinuous" vertical="center"/>
    </xf>
    <xf numFmtId="9" fontId="26" fillId="10" borderId="0" xfId="6" applyFont="1" applyFill="1" applyAlignment="1">
      <alignment horizontal="centerContinuous" vertical="center"/>
    </xf>
    <xf numFmtId="0" fontId="16" fillId="8" borderId="0" xfId="2" applyFont="1" applyFill="1" applyAlignment="1">
      <alignment horizontal="center" vertical="center" wrapText="1"/>
    </xf>
    <xf numFmtId="9" fontId="23" fillId="8" borderId="0" xfId="6" applyFont="1" applyFill="1">
      <alignment horizontal="center" vertical="center"/>
    </xf>
    <xf numFmtId="165" fontId="25" fillId="0" borderId="0" xfId="0" applyNumberFormat="1" applyFont="1">
      <alignment horizontal="center" vertical="center"/>
    </xf>
    <xf numFmtId="9" fontId="26" fillId="0" borderId="0" xfId="6" applyFont="1">
      <alignment horizontal="center" vertical="center"/>
    </xf>
    <xf numFmtId="164" fontId="25" fillId="0" borderId="0" xfId="0" applyNumberFormat="1" applyFont="1">
      <alignment horizontal="center" vertical="center"/>
    </xf>
    <xf numFmtId="0" fontId="19" fillId="0" borderId="11" xfId="12" applyFont="1" applyBorder="1">
      <alignment vertical="center"/>
    </xf>
    <xf numFmtId="0" fontId="20" fillId="6" borderId="11" xfId="7" applyFont="1" applyBorder="1" applyAlignment="1">
      <alignment horizontal="left" vertical="center" wrapText="1"/>
    </xf>
    <xf numFmtId="164" fontId="18" fillId="6" borderId="9" xfId="13" applyNumberFormat="1" applyFont="1" applyBorder="1">
      <alignment horizontal="center" vertical="center"/>
    </xf>
    <xf numFmtId="0" fontId="18" fillId="0" borderId="9" xfId="0" applyFont="1" applyBorder="1" applyAlignment="1">
      <alignment horizontal="center"/>
    </xf>
    <xf numFmtId="0" fontId="18" fillId="11" borderId="11" xfId="14" applyFont="1" applyFill="1" applyBorder="1" applyAlignment="1">
      <alignment horizontal="center"/>
    </xf>
    <xf numFmtId="0" fontId="18" fillId="0" borderId="11" xfId="5" applyFont="1" applyBorder="1" applyAlignment="1">
      <alignment vertical="center"/>
    </xf>
    <xf numFmtId="0" fontId="18" fillId="9" borderId="11" xfId="5" applyFont="1" applyFill="1" applyBorder="1" applyAlignment="1">
      <alignment vertical="center"/>
    </xf>
    <xf numFmtId="0" fontId="0" fillId="0" borderId="6" xfId="0" applyBorder="1" applyAlignment="1">
      <alignment horizontal="centerContinuous"/>
    </xf>
    <xf numFmtId="0" fontId="18" fillId="0" borderId="6" xfId="5" applyFont="1" applyBorder="1" applyAlignment="1">
      <alignment vertical="center"/>
    </xf>
    <xf numFmtId="0" fontId="18" fillId="0" borderId="7" xfId="5" applyFont="1" applyBorder="1" applyAlignment="1">
      <alignment vertical="center"/>
    </xf>
    <xf numFmtId="0" fontId="17" fillId="0" borderId="5" xfId="8" applyFont="1" applyBorder="1" applyAlignment="1">
      <alignment horizontal="centerContinuous" vertical="center"/>
    </xf>
    <xf numFmtId="0" fontId="7" fillId="0" borderId="6" xfId="1" applyBorder="1" applyAlignment="1">
      <alignment horizontal="centerContinuous"/>
    </xf>
    <xf numFmtId="0" fontId="7" fillId="0" borderId="6" xfId="1" applyBorder="1" applyAlignment="1">
      <alignment horizontal="centerContinuous" vertical="center"/>
    </xf>
    <xf numFmtId="166" fontId="25" fillId="0" borderId="0" xfId="0" applyNumberFormat="1" applyFont="1">
      <alignment horizontal="center" vertical="center"/>
    </xf>
    <xf numFmtId="164" fontId="22" fillId="8" borderId="0" xfId="0" applyNumberFormat="1" applyFont="1" applyFill="1">
      <alignment horizontal="center" vertical="center"/>
    </xf>
    <xf numFmtId="166" fontId="22" fillId="8" borderId="0" xfId="0" applyNumberFormat="1" applyFont="1" applyFill="1" applyAlignment="1">
      <alignment horizontal="centerContinuous" vertical="center"/>
    </xf>
    <xf numFmtId="0" fontId="3" fillId="0" borderId="0" xfId="19"/>
    <xf numFmtId="0" fontId="28" fillId="10" borderId="13" xfId="19" applyFont="1" applyFill="1" applyBorder="1" applyAlignment="1">
      <alignment horizontal="center" vertical="center"/>
    </xf>
    <xf numFmtId="1" fontId="28" fillId="10" borderId="13" xfId="19" applyNumberFormat="1" applyFont="1" applyFill="1" applyBorder="1" applyAlignment="1">
      <alignment horizontal="center" vertical="center"/>
    </xf>
    <xf numFmtId="15" fontId="27" fillId="14" borderId="13" xfId="19" applyNumberFormat="1" applyFont="1" applyFill="1" applyBorder="1" applyAlignment="1">
      <alignment horizontal="center" vertical="center"/>
    </xf>
    <xf numFmtId="14" fontId="27" fillId="14" borderId="13" xfId="19" applyNumberFormat="1" applyFont="1" applyFill="1" applyBorder="1" applyAlignment="1">
      <alignment horizontal="center" vertical="center"/>
    </xf>
    <xf numFmtId="0" fontId="28" fillId="12" borderId="17" xfId="19" applyFont="1" applyFill="1" applyBorder="1" applyAlignment="1">
      <alignment horizontal="center" vertical="center" wrapText="1"/>
    </xf>
    <xf numFmtId="0" fontId="28" fillId="10" borderId="13" xfId="19" applyFont="1" applyFill="1" applyBorder="1" applyAlignment="1">
      <alignment horizontal="center" vertical="center" wrapText="1"/>
    </xf>
    <xf numFmtId="0" fontId="27" fillId="14" borderId="13" xfId="19" applyFont="1" applyFill="1" applyBorder="1" applyAlignment="1">
      <alignment horizontal="center" vertical="center"/>
    </xf>
    <xf numFmtId="0" fontId="28" fillId="12" borderId="13" xfId="19" applyFont="1" applyFill="1" applyBorder="1" applyAlignment="1">
      <alignment horizontal="center" vertical="center" wrapText="1"/>
    </xf>
    <xf numFmtId="0" fontId="28" fillId="12" borderId="13" xfId="19" applyFont="1" applyFill="1" applyBorder="1" applyAlignment="1">
      <alignment horizontal="center" vertical="center"/>
    </xf>
    <xf numFmtId="0" fontId="28" fillId="15" borderId="13" xfId="19" applyFont="1" applyFill="1" applyBorder="1" applyAlignment="1">
      <alignment horizontal="center" vertical="center"/>
    </xf>
    <xf numFmtId="0" fontId="28" fillId="15" borderId="13" xfId="19" applyFont="1" applyFill="1" applyBorder="1" applyAlignment="1">
      <alignment horizontal="center" vertical="center" wrapText="1"/>
    </xf>
    <xf numFmtId="1" fontId="28" fillId="15" borderId="13" xfId="19" applyNumberFormat="1" applyFont="1" applyFill="1" applyBorder="1" applyAlignment="1">
      <alignment horizontal="center" vertical="center"/>
    </xf>
    <xf numFmtId="0" fontId="27" fillId="15" borderId="13" xfId="19" applyFont="1" applyFill="1" applyBorder="1" applyAlignment="1">
      <alignment horizontal="center" vertical="center"/>
    </xf>
    <xf numFmtId="14" fontId="27" fillId="15" borderId="13" xfId="19" applyNumberFormat="1" applyFont="1" applyFill="1" applyBorder="1" applyAlignment="1">
      <alignment horizontal="center" vertical="center"/>
    </xf>
    <xf numFmtId="0" fontId="27" fillId="10" borderId="13" xfId="19" applyFont="1" applyFill="1" applyBorder="1" applyAlignment="1">
      <alignment horizontal="center" vertical="center"/>
    </xf>
    <xf numFmtId="14" fontId="27" fillId="10" borderId="13" xfId="19" applyNumberFormat="1" applyFont="1" applyFill="1" applyBorder="1" applyAlignment="1">
      <alignment horizontal="center" vertical="center"/>
    </xf>
    <xf numFmtId="0" fontId="28" fillId="12" borderId="14" xfId="19" applyFont="1" applyFill="1" applyBorder="1" applyAlignment="1">
      <alignment horizontal="center" vertical="center" wrapText="1"/>
    </xf>
    <xf numFmtId="0" fontId="29" fillId="0" borderId="13" xfId="19" applyFont="1" applyBorder="1" applyAlignment="1">
      <alignment horizontal="center" vertical="center" wrapText="1"/>
    </xf>
    <xf numFmtId="16" fontId="27" fillId="14" borderId="13" xfId="19" applyNumberFormat="1" applyFont="1" applyFill="1" applyBorder="1" applyAlignment="1">
      <alignment horizontal="center" vertical="center"/>
    </xf>
    <xf numFmtId="0" fontId="2" fillId="0" borderId="0" xfId="20"/>
    <xf numFmtId="0" fontId="28" fillId="10" borderId="13" xfId="20" applyFont="1" applyFill="1" applyBorder="1" applyAlignment="1">
      <alignment horizontal="center" vertical="center"/>
    </xf>
    <xf numFmtId="0" fontId="28" fillId="10" borderId="13" xfId="20" applyFont="1" applyFill="1" applyBorder="1" applyAlignment="1">
      <alignment horizontal="center" vertical="top"/>
    </xf>
    <xf numFmtId="1" fontId="28" fillId="10" borderId="13" xfId="20" applyNumberFormat="1" applyFont="1" applyFill="1" applyBorder="1" applyAlignment="1">
      <alignment horizontal="center" vertical="center"/>
    </xf>
    <xf numFmtId="15" fontId="27" fillId="14" borderId="13" xfId="20" applyNumberFormat="1" applyFont="1" applyFill="1" applyBorder="1" applyAlignment="1">
      <alignment horizontal="center" vertical="center"/>
    </xf>
    <xf numFmtId="14" fontId="27" fillId="14" borderId="13" xfId="20" applyNumberFormat="1" applyFont="1" applyFill="1" applyBorder="1" applyAlignment="1">
      <alignment horizontal="center" vertical="center"/>
    </xf>
    <xf numFmtId="0" fontId="28" fillId="12" borderId="17" xfId="20" applyFont="1" applyFill="1" applyBorder="1" applyAlignment="1">
      <alignment horizontal="center" vertical="center" wrapText="1"/>
    </xf>
    <xf numFmtId="0" fontId="28" fillId="10" borderId="13" xfId="20" applyFont="1" applyFill="1" applyBorder="1" applyAlignment="1">
      <alignment horizontal="center" vertical="top" wrapText="1"/>
    </xf>
    <xf numFmtId="0" fontId="27" fillId="14" borderId="13" xfId="20" applyFont="1" applyFill="1" applyBorder="1" applyAlignment="1">
      <alignment horizontal="center" vertical="center"/>
    </xf>
    <xf numFmtId="0" fontId="28" fillId="12" borderId="13" xfId="20" applyFont="1" applyFill="1" applyBorder="1" applyAlignment="1">
      <alignment horizontal="center" vertical="center" wrapText="1"/>
    </xf>
    <xf numFmtId="0" fontId="28" fillId="12" borderId="13" xfId="20" applyFont="1" applyFill="1" applyBorder="1" applyAlignment="1">
      <alignment horizontal="center" vertical="center"/>
    </xf>
    <xf numFmtId="0" fontId="28" fillId="16" borderId="13" xfId="20" applyFont="1" applyFill="1" applyBorder="1" applyAlignment="1">
      <alignment horizontal="center" vertical="center"/>
    </xf>
    <xf numFmtId="0" fontId="28" fillId="16" borderId="13" xfId="20" applyFont="1" applyFill="1" applyBorder="1" applyAlignment="1">
      <alignment horizontal="center" vertical="top"/>
    </xf>
    <xf numFmtId="1" fontId="28" fillId="16" borderId="13" xfId="20" applyNumberFormat="1" applyFont="1" applyFill="1" applyBorder="1" applyAlignment="1">
      <alignment horizontal="center" vertical="center"/>
    </xf>
    <xf numFmtId="0" fontId="27" fillId="16" borderId="13" xfId="20" applyFont="1" applyFill="1" applyBorder="1" applyAlignment="1">
      <alignment horizontal="center" vertical="center"/>
    </xf>
    <xf numFmtId="15" fontId="27" fillId="16" borderId="13" xfId="20" applyNumberFormat="1" applyFont="1" applyFill="1" applyBorder="1" applyAlignment="1">
      <alignment horizontal="center" vertical="center"/>
    </xf>
    <xf numFmtId="0" fontId="29" fillId="16" borderId="13" xfId="20" applyFont="1" applyFill="1" applyBorder="1" applyAlignment="1">
      <alignment horizontal="center" wrapText="1"/>
    </xf>
    <xf numFmtId="0" fontId="29" fillId="0" borderId="13" xfId="20" applyFont="1" applyBorder="1" applyAlignment="1">
      <alignment horizontal="center" wrapText="1"/>
    </xf>
    <xf numFmtId="14" fontId="27" fillId="16" borderId="13" xfId="20" applyNumberFormat="1" applyFont="1" applyFill="1" applyBorder="1" applyAlignment="1">
      <alignment horizontal="center" vertical="center"/>
    </xf>
    <xf numFmtId="0" fontId="28" fillId="15" borderId="13" xfId="20" applyFont="1" applyFill="1" applyBorder="1" applyAlignment="1">
      <alignment horizontal="center" vertical="center"/>
    </xf>
    <xf numFmtId="0" fontId="28" fillId="15" borderId="13" xfId="20" applyFont="1" applyFill="1" applyBorder="1" applyAlignment="1">
      <alignment horizontal="center" vertical="top"/>
    </xf>
    <xf numFmtId="1" fontId="28" fillId="15" borderId="13" xfId="20" applyNumberFormat="1" applyFont="1" applyFill="1" applyBorder="1" applyAlignment="1">
      <alignment horizontal="center" vertical="center"/>
    </xf>
    <xf numFmtId="15" fontId="27" fillId="15" borderId="13" xfId="20" applyNumberFormat="1" applyFont="1" applyFill="1" applyBorder="1" applyAlignment="1">
      <alignment horizontal="center" vertical="center"/>
    </xf>
    <xf numFmtId="0" fontId="2" fillId="15" borderId="13" xfId="20" applyFill="1" applyBorder="1" applyAlignment="1">
      <alignment horizontal="center"/>
    </xf>
    <xf numFmtId="0" fontId="2" fillId="0" borderId="13" xfId="20" applyBorder="1" applyAlignment="1">
      <alignment horizontal="center"/>
    </xf>
    <xf numFmtId="0" fontId="2" fillId="15" borderId="13" xfId="20" applyFill="1" applyBorder="1" applyAlignment="1">
      <alignment horizontal="center" wrapText="1"/>
    </xf>
    <xf numFmtId="0" fontId="2" fillId="16" borderId="13" xfId="20" applyFill="1" applyBorder="1" applyAlignment="1">
      <alignment horizontal="center" wrapText="1"/>
    </xf>
    <xf numFmtId="0" fontId="28" fillId="10" borderId="14" xfId="20" applyFont="1" applyFill="1" applyBorder="1" applyAlignment="1">
      <alignment horizontal="center" vertical="center"/>
    </xf>
    <xf numFmtId="0" fontId="28" fillId="10" borderId="14" xfId="20" applyFont="1" applyFill="1" applyBorder="1" applyAlignment="1">
      <alignment horizontal="center" vertical="top"/>
    </xf>
    <xf numFmtId="1" fontId="28" fillId="10" borderId="14" xfId="20" applyNumberFormat="1" applyFont="1" applyFill="1" applyBorder="1" applyAlignment="1">
      <alignment horizontal="center" vertical="center"/>
    </xf>
    <xf numFmtId="15" fontId="27" fillId="14" borderId="14" xfId="20" applyNumberFormat="1" applyFont="1" applyFill="1" applyBorder="1" applyAlignment="1">
      <alignment horizontal="center" vertical="center"/>
    </xf>
    <xf numFmtId="0" fontId="2" fillId="0" borderId="14" xfId="20" applyBorder="1" applyAlignment="1">
      <alignment horizontal="center"/>
    </xf>
    <xf numFmtId="0" fontId="28" fillId="15" borderId="14" xfId="20" applyFont="1" applyFill="1" applyBorder="1" applyAlignment="1">
      <alignment horizontal="center" vertical="center"/>
    </xf>
    <xf numFmtId="0" fontId="28" fillId="15" borderId="14" xfId="20" applyFont="1" applyFill="1" applyBorder="1" applyAlignment="1">
      <alignment horizontal="center" vertical="top"/>
    </xf>
    <xf numFmtId="1" fontId="28" fillId="15" borderId="14" xfId="20" applyNumberFormat="1" applyFont="1" applyFill="1" applyBorder="1" applyAlignment="1">
      <alignment horizontal="center" vertical="center"/>
    </xf>
    <xf numFmtId="15" fontId="27" fillId="15" borderId="14" xfId="20" applyNumberFormat="1" applyFont="1" applyFill="1" applyBorder="1" applyAlignment="1">
      <alignment horizontal="center" vertical="center"/>
    </xf>
    <xf numFmtId="0" fontId="2" fillId="15" borderId="14" xfId="20" applyFill="1" applyBorder="1" applyAlignment="1">
      <alignment horizontal="center"/>
    </xf>
    <xf numFmtId="15" fontId="27" fillId="17" borderId="14" xfId="20" applyNumberFormat="1" applyFont="1" applyFill="1" applyBorder="1" applyAlignment="1">
      <alignment horizontal="center" vertical="center"/>
    </xf>
    <xf numFmtId="0" fontId="28" fillId="16" borderId="17" xfId="20" applyFont="1" applyFill="1" applyBorder="1" applyAlignment="1">
      <alignment horizontal="center" vertical="center"/>
    </xf>
    <xf numFmtId="0" fontId="28" fillId="16" borderId="13" xfId="20" applyFont="1" applyFill="1" applyBorder="1" applyAlignment="1">
      <alignment horizontal="center" vertical="top" wrapText="1"/>
    </xf>
    <xf numFmtId="16" fontId="27" fillId="16" borderId="13" xfId="20" applyNumberFormat="1" applyFont="1" applyFill="1" applyBorder="1" applyAlignment="1">
      <alignment horizontal="center" vertical="center"/>
    </xf>
    <xf numFmtId="0" fontId="28" fillId="16" borderId="13" xfId="20" applyFont="1" applyFill="1" applyBorder="1" applyAlignment="1">
      <alignment horizontal="center" vertical="center" wrapText="1"/>
    </xf>
    <xf numFmtId="0" fontId="27" fillId="14" borderId="13" xfId="20" applyFont="1" applyFill="1" applyBorder="1" applyAlignment="1">
      <alignment horizontal="center" vertical="center" wrapText="1"/>
    </xf>
    <xf numFmtId="0" fontId="28" fillId="15" borderId="13" xfId="20" applyFont="1" applyFill="1" applyBorder="1" applyAlignment="1">
      <alignment horizontal="center" vertical="top" wrapText="1"/>
    </xf>
    <xf numFmtId="0" fontId="27" fillId="15" borderId="13" xfId="20" applyFont="1" applyFill="1" applyBorder="1" applyAlignment="1">
      <alignment horizontal="center" vertical="center"/>
    </xf>
    <xf numFmtId="14" fontId="27" fillId="15" borderId="13" xfId="20" applyNumberFormat="1" applyFont="1" applyFill="1" applyBorder="1" applyAlignment="1">
      <alignment horizontal="center" vertical="center"/>
    </xf>
    <xf numFmtId="0" fontId="28" fillId="15" borderId="13" xfId="20" applyFont="1" applyFill="1" applyBorder="1" applyAlignment="1">
      <alignment horizontal="center" vertical="center" wrapText="1"/>
    </xf>
    <xf numFmtId="0" fontId="27" fillId="10" borderId="13" xfId="20" applyFont="1" applyFill="1" applyBorder="1" applyAlignment="1">
      <alignment horizontal="center" vertical="center"/>
    </xf>
    <xf numFmtId="14" fontId="27" fillId="10" borderId="13" xfId="20" applyNumberFormat="1" applyFont="1" applyFill="1" applyBorder="1" applyAlignment="1">
      <alignment horizontal="center" vertical="center"/>
    </xf>
    <xf numFmtId="0" fontId="28" fillId="10" borderId="14" xfId="20" applyFont="1" applyFill="1" applyBorder="1" applyAlignment="1">
      <alignment horizontal="center" vertical="center" wrapText="1"/>
    </xf>
    <xf numFmtId="0" fontId="24" fillId="0" borderId="0" xfId="2" applyFont="1" applyFill="1" applyAlignment="1">
      <alignment horizontal="centerContinuous" vertical="center" wrapText="1"/>
    </xf>
    <xf numFmtId="164" fontId="24" fillId="0" borderId="0" xfId="0" applyNumberFormat="1" applyFont="1" applyFill="1" applyAlignment="1">
      <alignment horizontal="centerContinuous" vertical="center"/>
    </xf>
    <xf numFmtId="9" fontId="26" fillId="0" borderId="0" xfId="6" applyFont="1" applyFill="1" applyAlignment="1">
      <alignment horizontal="centerContinuous" vertical="center"/>
    </xf>
    <xf numFmtId="0" fontId="24" fillId="0" borderId="0" xfId="2" applyFont="1" applyFill="1" applyAlignment="1">
      <alignment horizontal="left" vertical="center" wrapText="1"/>
    </xf>
    <xf numFmtId="166" fontId="25" fillId="0" borderId="0" xfId="0" applyNumberFormat="1" applyFont="1" applyFill="1">
      <alignment horizontal="center" vertical="center"/>
    </xf>
    <xf numFmtId="9" fontId="26" fillId="0" borderId="0" xfId="6" applyFont="1" applyFill="1">
      <alignment horizontal="center" vertical="center"/>
    </xf>
    <xf numFmtId="0" fontId="0" fillId="9" borderId="0" xfId="0" applyFill="1" applyAlignment="1">
      <alignment horizontal="center"/>
    </xf>
    <xf numFmtId="9" fontId="15" fillId="0" borderId="5" xfId="6" applyFont="1" applyFill="1" applyBorder="1" applyAlignment="1">
      <alignment horizontal="centerContinuous" vertical="center"/>
    </xf>
    <xf numFmtId="0" fontId="24" fillId="0" borderId="22" xfId="2" applyFont="1" applyBorder="1" applyAlignment="1">
      <alignment horizontal="left" vertical="center" wrapText="1"/>
    </xf>
    <xf numFmtId="165" fontId="25" fillId="0" borderId="22" xfId="0" applyNumberFormat="1" applyFont="1" applyBorder="1">
      <alignment horizontal="center" vertical="center"/>
    </xf>
    <xf numFmtId="9" fontId="26" fillId="0" borderId="22" xfId="6" applyFont="1" applyBorder="1">
      <alignment horizontal="center" vertical="center"/>
    </xf>
    <xf numFmtId="9" fontId="26" fillId="0" borderId="22" xfId="6" applyFont="1" applyBorder="1" applyAlignment="1">
      <alignment horizontal="center" vertical="center" wrapText="1"/>
    </xf>
    <xf numFmtId="0" fontId="16" fillId="8" borderId="22" xfId="2" applyFont="1" applyFill="1" applyBorder="1" applyAlignment="1">
      <alignment horizontal="centerContinuous" vertical="center" wrapText="1"/>
    </xf>
    <xf numFmtId="0" fontId="22" fillId="8" borderId="22" xfId="0" applyFont="1" applyFill="1" applyBorder="1" applyAlignment="1">
      <alignment horizontal="centerContinuous" vertical="center"/>
    </xf>
    <xf numFmtId="9" fontId="23" fillId="8" borderId="22" xfId="6" applyFont="1" applyFill="1" applyBorder="1" applyAlignment="1">
      <alignment horizontal="centerContinuous" vertical="center"/>
    </xf>
    <xf numFmtId="164" fontId="25" fillId="0" borderId="22" xfId="0" applyNumberFormat="1" applyFont="1" applyBorder="1">
      <alignment horizontal="center" vertical="center"/>
    </xf>
    <xf numFmtId="0" fontId="16" fillId="18" borderId="22" xfId="2" applyFont="1" applyFill="1" applyBorder="1" applyAlignment="1">
      <alignment horizontal="left" vertical="center" wrapText="1"/>
    </xf>
    <xf numFmtId="9" fontId="23" fillId="18" borderId="22" xfId="6" applyFont="1" applyFill="1" applyBorder="1">
      <alignment horizontal="center" vertical="center"/>
    </xf>
    <xf numFmtId="165" fontId="25" fillId="0" borderId="22" xfId="0" applyNumberFormat="1" applyFont="1" applyFill="1" applyBorder="1">
      <alignment horizontal="center" vertical="center"/>
    </xf>
    <xf numFmtId="9" fontId="26" fillId="0" borderId="22" xfId="6" applyFont="1" applyFill="1" applyBorder="1">
      <alignment horizontal="center" vertical="center"/>
    </xf>
    <xf numFmtId="9" fontId="23" fillId="8" borderId="22" xfId="6" applyFont="1" applyFill="1" applyBorder="1">
      <alignment horizontal="center" vertical="center"/>
    </xf>
    <xf numFmtId="0" fontId="16" fillId="8" borderId="22" xfId="2" applyFont="1" applyFill="1" applyBorder="1" applyAlignment="1">
      <alignment horizontal="left" vertical="center" wrapText="1"/>
    </xf>
    <xf numFmtId="167" fontId="22" fillId="8" borderId="22" xfId="0" applyNumberFormat="1" applyFont="1" applyFill="1" applyBorder="1">
      <alignment horizontal="center" vertical="center"/>
    </xf>
    <xf numFmtId="9" fontId="23" fillId="8" borderId="22" xfId="6" applyFont="1" applyFill="1" applyBorder="1" applyAlignment="1">
      <alignment horizontal="center" vertical="center" wrapText="1"/>
    </xf>
    <xf numFmtId="9" fontId="30" fillId="0" borderId="22" xfId="6" applyFont="1" applyBorder="1" applyAlignment="1">
      <alignment horizontal="center" vertical="center" wrapText="1"/>
    </xf>
    <xf numFmtId="0" fontId="24" fillId="0" borderId="22" xfId="2" applyFont="1" applyBorder="1" applyAlignment="1">
      <alignment horizontal="center" vertical="center" wrapText="1"/>
    </xf>
    <xf numFmtId="0" fontId="13" fillId="0" borderId="5" xfId="2" applyFont="1" applyFill="1" applyBorder="1" applyAlignment="1">
      <alignment horizontal="left" vertical="center" wrapText="1"/>
    </xf>
    <xf numFmtId="9" fontId="15" fillId="0" borderId="6" xfId="6" applyFont="1" applyFill="1" applyBorder="1">
      <alignment horizontal="center" vertical="center"/>
    </xf>
    <xf numFmtId="0" fontId="14" fillId="0" borderId="5" xfId="0" applyFont="1" applyFill="1" applyBorder="1" applyAlignment="1">
      <alignment horizontal="centerContinuous" vertical="center"/>
    </xf>
    <xf numFmtId="16" fontId="14" fillId="0" borderId="7" xfId="0" applyNumberFormat="1" applyFont="1" applyFill="1" applyBorder="1" applyAlignment="1">
      <alignment horizontal="centerContinuous" vertical="center"/>
    </xf>
    <xf numFmtId="0" fontId="19" fillId="0" borderId="0" xfId="12" applyFont="1" applyBorder="1">
      <alignment vertical="center"/>
    </xf>
    <xf numFmtId="0" fontId="20" fillId="0" borderId="0" xfId="7" applyFont="1" applyFill="1" applyBorder="1" applyAlignment="1">
      <alignment horizontal="left" vertical="center" wrapText="1"/>
    </xf>
    <xf numFmtId="3" fontId="9" fillId="9" borderId="5" xfId="3" applyFill="1" applyBorder="1">
      <alignment horizontal="center"/>
    </xf>
    <xf numFmtId="3" fontId="9" fillId="9" borderId="6" xfId="3" applyFill="1" applyBorder="1">
      <alignment horizontal="center"/>
    </xf>
    <xf numFmtId="3" fontId="9" fillId="0" borderId="25" xfId="3" applyBorder="1">
      <alignment horizontal="center"/>
    </xf>
    <xf numFmtId="0" fontId="13" fillId="8" borderId="23" xfId="2" applyFont="1" applyFill="1" applyBorder="1" applyAlignment="1">
      <alignment horizontal="centerContinuous" vertical="center" wrapText="1"/>
    </xf>
    <xf numFmtId="0" fontId="14" fillId="8" borderId="23" xfId="0" applyFont="1" applyFill="1" applyBorder="1" applyAlignment="1">
      <alignment horizontal="centerContinuous" vertical="center"/>
    </xf>
    <xf numFmtId="16" fontId="14" fillId="8" borderId="24" xfId="0" applyNumberFormat="1" applyFont="1" applyFill="1" applyBorder="1" applyAlignment="1">
      <alignment horizontal="centerContinuous" vertical="center"/>
    </xf>
    <xf numFmtId="9" fontId="15" fillId="8" borderId="24" xfId="6" applyFont="1" applyFill="1" applyBorder="1" applyAlignment="1">
      <alignment horizontal="centerContinuous" vertical="center"/>
    </xf>
    <xf numFmtId="0" fontId="13" fillId="8" borderId="22" xfId="2" applyFont="1" applyFill="1" applyBorder="1" applyAlignment="1">
      <alignment horizontal="centerContinuous" vertical="center" wrapText="1"/>
    </xf>
    <xf numFmtId="0" fontId="14" fillId="8" borderId="22" xfId="0" applyFont="1" applyFill="1" applyBorder="1" applyAlignment="1">
      <alignment horizontal="centerContinuous" vertical="center"/>
    </xf>
    <xf numFmtId="9" fontId="15" fillId="8" borderId="22" xfId="6" applyFont="1" applyFill="1" applyBorder="1" applyAlignment="1">
      <alignment horizontal="centerContinuous" vertical="center"/>
    </xf>
    <xf numFmtId="0" fontId="25" fillId="0" borderId="22" xfId="2" applyFont="1" applyBorder="1" applyAlignment="1">
      <alignment horizontal="left" vertical="center" wrapText="1"/>
    </xf>
    <xf numFmtId="0" fontId="18" fillId="0" borderId="11" xfId="5" applyFont="1" applyBorder="1">
      <alignment horizontal="left" vertical="center"/>
    </xf>
    <xf numFmtId="0" fontId="20" fillId="0" borderId="11" xfId="7" applyFont="1" applyFill="1" applyBorder="1" applyAlignment="1">
      <alignment horizontal="left" vertical="center" wrapText="1"/>
    </xf>
    <xf numFmtId="0" fontId="17" fillId="0" borderId="24" xfId="8" applyFont="1" applyBorder="1" applyAlignment="1">
      <alignment horizontal="centerContinuous" vertical="center"/>
    </xf>
    <xf numFmtId="0" fontId="7" fillId="0" borderId="25" xfId="1" applyBorder="1" applyAlignment="1">
      <alignment horizontal="centerContinuous"/>
    </xf>
    <xf numFmtId="0" fontId="7" fillId="0" borderId="25" xfId="1" applyBorder="1" applyAlignment="1">
      <alignment horizontal="centerContinuous" vertical="center"/>
    </xf>
    <xf numFmtId="0" fontId="19" fillId="0" borderId="5" xfId="12" applyFont="1" applyBorder="1">
      <alignment vertical="center"/>
    </xf>
    <xf numFmtId="0" fontId="19" fillId="0" borderId="6" xfId="12" applyFont="1" applyBorder="1">
      <alignment vertical="center"/>
    </xf>
    <xf numFmtId="0" fontId="20" fillId="0" borderId="6" xfId="7" applyFont="1" applyFill="1" applyBorder="1" applyAlignment="1">
      <alignment horizontal="left" vertical="center" wrapText="1"/>
    </xf>
    <xf numFmtId="0" fontId="20" fillId="0" borderId="7" xfId="7" applyFont="1" applyFill="1" applyBorder="1" applyAlignment="1">
      <alignment horizontal="left" vertical="center" wrapText="1"/>
    </xf>
    <xf numFmtId="3" fontId="9" fillId="0" borderId="6" xfId="3" applyBorder="1">
      <alignment horizontal="center"/>
    </xf>
    <xf numFmtId="3" fontId="9" fillId="0" borderId="7" xfId="3" applyBorder="1">
      <alignment horizontal="center"/>
    </xf>
    <xf numFmtId="9" fontId="15" fillId="8" borderId="24" xfId="6" applyFont="1" applyFill="1" applyBorder="1">
      <alignment horizontal="center" vertical="center"/>
    </xf>
    <xf numFmtId="0" fontId="18" fillId="9" borderId="0" xfId="5" applyFont="1" applyFill="1" applyBorder="1" applyAlignment="1">
      <alignment vertical="center"/>
    </xf>
    <xf numFmtId="0" fontId="18" fillId="19" borderId="0" xfId="5" applyFont="1" applyFill="1" applyBorder="1" applyAlignment="1">
      <alignment vertical="center"/>
    </xf>
    <xf numFmtId="164" fontId="18" fillId="0" borderId="9" xfId="13" applyNumberFormat="1" applyFont="1" applyFill="1" applyBorder="1">
      <alignment horizontal="center" vertical="center"/>
    </xf>
    <xf numFmtId="166" fontId="22" fillId="8" borderId="22" xfId="0" applyNumberFormat="1" applyFont="1" applyFill="1" applyBorder="1" applyAlignment="1">
      <alignment horizontal="centerContinuous" vertical="center"/>
    </xf>
    <xf numFmtId="167" fontId="0" fillId="0" borderId="0" xfId="0" applyNumberFormat="1" applyAlignment="1">
      <alignment horizontal="center"/>
    </xf>
    <xf numFmtId="9" fontId="31" fillId="18" borderId="22" xfId="6" applyFont="1" applyFill="1" applyBorder="1" applyAlignment="1">
      <alignment horizontal="centerContinuous" vertical="center" wrapText="1"/>
    </xf>
    <xf numFmtId="0" fontId="32" fillId="0" borderId="6" xfId="0" applyFont="1" applyBorder="1" applyAlignment="1">
      <alignment horizontal="centerContinuous"/>
    </xf>
    <xf numFmtId="0" fontId="20" fillId="0" borderId="6" xfId="5" applyFont="1" applyBorder="1" applyAlignment="1">
      <alignment vertical="center"/>
    </xf>
    <xf numFmtId="0" fontId="20" fillId="0" borderId="7" xfId="5" applyFont="1" applyBorder="1" applyAlignment="1">
      <alignment vertical="center"/>
    </xf>
    <xf numFmtId="0" fontId="32" fillId="0" borderId="0" xfId="0" applyFont="1" applyBorder="1">
      <alignment horizontal="center" vertical="center"/>
    </xf>
    <xf numFmtId="0" fontId="32" fillId="0" borderId="0" xfId="0" applyFont="1">
      <alignment horizontal="center" vertical="center"/>
    </xf>
    <xf numFmtId="165" fontId="25" fillId="18" borderId="22" xfId="0" applyNumberFormat="1" applyFont="1" applyFill="1" applyBorder="1">
      <alignment horizontal="center" vertical="center"/>
    </xf>
    <xf numFmtId="3" fontId="9" fillId="9" borderId="24" xfId="3" applyFill="1" applyBorder="1">
      <alignment horizontal="center"/>
    </xf>
    <xf numFmtId="3" fontId="9" fillId="9" borderId="25" xfId="3" applyFill="1" applyBorder="1">
      <alignment horizontal="center"/>
    </xf>
    <xf numFmtId="3" fontId="9" fillId="9" borderId="26" xfId="3" applyFill="1" applyBorder="1">
      <alignment horizontal="center"/>
    </xf>
    <xf numFmtId="3" fontId="9" fillId="9" borderId="0" xfId="3" applyFill="1" applyBorder="1">
      <alignment horizontal="center"/>
    </xf>
    <xf numFmtId="3" fontId="9" fillId="9" borderId="10" xfId="3" applyFill="1" applyBorder="1">
      <alignment horizontal="center"/>
    </xf>
    <xf numFmtId="0" fontId="33" fillId="0" borderId="6" xfId="1" applyFont="1" applyBorder="1" applyAlignment="1">
      <alignment horizontal="centerContinuous"/>
    </xf>
    <xf numFmtId="0" fontId="34" fillId="0" borderId="5" xfId="8" applyFont="1" applyBorder="1" applyAlignment="1">
      <alignment horizontal="centerContinuous" vertical="center"/>
    </xf>
    <xf numFmtId="0" fontId="1" fillId="0" borderId="0" xfId="21"/>
    <xf numFmtId="0" fontId="36" fillId="21" borderId="28" xfId="21" applyFont="1" applyFill="1" applyBorder="1" applyAlignment="1">
      <alignment horizontal="left" vertical="center" readingOrder="1"/>
    </xf>
    <xf numFmtId="14" fontId="36" fillId="21" borderId="28" xfId="21" applyNumberFormat="1" applyFont="1" applyFill="1" applyBorder="1" applyAlignment="1">
      <alignment horizontal="center" vertical="center" readingOrder="1"/>
    </xf>
    <xf numFmtId="0" fontId="37" fillId="22" borderId="28" xfId="21" applyFont="1" applyFill="1" applyBorder="1" applyAlignment="1">
      <alignment horizontal="center" vertical="center" readingOrder="1"/>
    </xf>
    <xf numFmtId="14" fontId="37" fillId="21" borderId="28" xfId="21" applyNumberFormat="1" applyFont="1" applyFill="1" applyBorder="1" applyAlignment="1">
      <alignment horizontal="center" vertical="center" readingOrder="1"/>
    </xf>
    <xf numFmtId="0" fontId="36" fillId="22" borderId="28" xfId="21" applyFont="1" applyFill="1" applyBorder="1" applyAlignment="1">
      <alignment horizontal="left" vertical="center" readingOrder="1"/>
    </xf>
    <xf numFmtId="14" fontId="36" fillId="22" borderId="28" xfId="21" applyNumberFormat="1" applyFont="1" applyFill="1" applyBorder="1" applyAlignment="1">
      <alignment horizontal="center" vertical="center" readingOrder="1"/>
    </xf>
    <xf numFmtId="0" fontId="36" fillId="22" borderId="28" xfId="21" applyFont="1" applyFill="1" applyBorder="1" applyAlignment="1">
      <alignment horizontal="center" vertical="center" readingOrder="1"/>
    </xf>
    <xf numFmtId="0" fontId="36" fillId="22" borderId="29" xfId="21" applyFont="1" applyFill="1" applyBorder="1" applyAlignment="1">
      <alignment horizontal="center" vertical="center" readingOrder="1"/>
    </xf>
    <xf numFmtId="0" fontId="36" fillId="22" borderId="8" xfId="21" applyFont="1" applyFill="1" applyBorder="1" applyAlignment="1">
      <alignment horizontal="center" vertical="center" readingOrder="1"/>
    </xf>
    <xf numFmtId="0" fontId="36" fillId="0" borderId="0" xfId="21" applyFont="1" applyAlignment="1">
      <alignment horizontal="left" vertical="center" readingOrder="1"/>
    </xf>
    <xf numFmtId="168" fontId="7" fillId="0" borderId="6" xfId="1" applyNumberFormat="1" applyBorder="1" applyAlignment="1">
      <alignment horizontal="centerContinuous" vertical="center"/>
    </xf>
    <xf numFmtId="1" fontId="7" fillId="0" borderId="6" xfId="1" applyNumberFormat="1" applyBorder="1" applyAlignment="1">
      <alignment horizontal="centerContinuous" vertical="center"/>
    </xf>
    <xf numFmtId="9" fontId="7" fillId="0" borderId="6" xfId="22" applyFont="1" applyBorder="1" applyAlignment="1">
      <alignment horizontal="centerContinuous" vertical="center"/>
    </xf>
    <xf numFmtId="168" fontId="14" fillId="8" borderId="0" xfId="0" applyNumberFormat="1" applyFont="1" applyFill="1" applyAlignment="1">
      <alignment horizontal="centerContinuous" vertical="center"/>
    </xf>
    <xf numFmtId="1" fontId="14" fillId="8" borderId="0" xfId="0" applyNumberFormat="1" applyFont="1" applyFill="1" applyAlignment="1">
      <alignment horizontal="centerContinuous" vertical="center"/>
    </xf>
    <xf numFmtId="9" fontId="14" fillId="8" borderId="0" xfId="22" applyFont="1" applyFill="1" applyAlignment="1">
      <alignment horizontal="centerContinuous" vertical="center"/>
    </xf>
    <xf numFmtId="168" fontId="25" fillId="0" borderId="22" xfId="0" applyNumberFormat="1" applyFont="1" applyBorder="1">
      <alignment horizontal="center" vertical="center"/>
    </xf>
    <xf numFmtId="1" fontId="25" fillId="0" borderId="22" xfId="0" applyNumberFormat="1" applyFont="1" applyBorder="1">
      <alignment horizontal="center" vertical="center"/>
    </xf>
    <xf numFmtId="9" fontId="25" fillId="0" borderId="22" xfId="22" applyFont="1" applyBorder="1" applyAlignment="1">
      <alignment horizontal="center" vertical="center"/>
    </xf>
    <xf numFmtId="0" fontId="24" fillId="0" borderId="22" xfId="2" applyFont="1" applyFill="1" applyBorder="1" applyAlignment="1">
      <alignment horizontal="left" vertical="center" wrapText="1"/>
    </xf>
    <xf numFmtId="168" fontId="25" fillId="0" borderId="22" xfId="0" applyNumberFormat="1" applyFont="1" applyFill="1" applyBorder="1">
      <alignment horizontal="center" vertical="center"/>
    </xf>
    <xf numFmtId="1" fontId="25" fillId="0" borderId="22" xfId="0" applyNumberFormat="1" applyFont="1" applyFill="1" applyBorder="1">
      <alignment horizontal="center" vertical="center"/>
    </xf>
    <xf numFmtId="9" fontId="25" fillId="0" borderId="22" xfId="22" applyFont="1" applyFill="1" applyBorder="1" applyAlignment="1">
      <alignment horizontal="center" vertical="center"/>
    </xf>
    <xf numFmtId="1" fontId="22" fillId="8" borderId="22" xfId="0" applyNumberFormat="1" applyFont="1" applyFill="1" applyBorder="1" applyAlignment="1">
      <alignment horizontal="centerContinuous" vertical="center"/>
    </xf>
    <xf numFmtId="9" fontId="22" fillId="8" borderId="22" xfId="22" applyFont="1" applyFill="1" applyBorder="1" applyAlignment="1">
      <alignment horizontal="centerContinuous" vertical="center"/>
    </xf>
    <xf numFmtId="1" fontId="25" fillId="0" borderId="22" xfId="22" applyNumberFormat="1" applyFont="1" applyBorder="1" applyAlignment="1">
      <alignment horizontal="center" vertical="center"/>
    </xf>
    <xf numFmtId="0" fontId="24" fillId="0" borderId="22" xfId="2" applyFont="1" applyBorder="1" applyAlignment="1">
      <alignment horizontal="right" vertical="center" wrapText="1"/>
    </xf>
    <xf numFmtId="166" fontId="25" fillId="0" borderId="22" xfId="0" applyNumberFormat="1" applyFont="1" applyBorder="1">
      <alignment horizontal="center" vertical="center"/>
    </xf>
    <xf numFmtId="1" fontId="0" fillId="0" borderId="0" xfId="0" applyNumberFormat="1">
      <alignment horizontal="center" vertical="center"/>
    </xf>
    <xf numFmtId="168" fontId="0" fillId="0" borderId="0" xfId="0" applyNumberFormat="1">
      <alignment horizontal="center" vertical="center"/>
    </xf>
    <xf numFmtId="9" fontId="0" fillId="0" borderId="0" xfId="22" applyFont="1" applyAlignment="1">
      <alignment horizontal="center" vertical="center"/>
    </xf>
    <xf numFmtId="16" fontId="19" fillId="0" borderId="0" xfId="12" applyNumberFormat="1" applyFont="1" applyBorder="1">
      <alignment vertical="center"/>
    </xf>
    <xf numFmtId="1" fontId="19" fillId="0" borderId="0" xfId="12" applyNumberFormat="1" applyFont="1" applyBorder="1">
      <alignment vertical="center"/>
    </xf>
    <xf numFmtId="9" fontId="19" fillId="0" borderId="0" xfId="22" applyFont="1" applyBorder="1" applyAlignment="1">
      <alignment vertical="center"/>
    </xf>
    <xf numFmtId="1" fontId="14" fillId="8" borderId="22" xfId="0" applyNumberFormat="1" applyFont="1" applyFill="1" applyBorder="1" applyAlignment="1">
      <alignment horizontal="centerContinuous" vertical="center"/>
    </xf>
    <xf numFmtId="9" fontId="14" fillId="8" borderId="22" xfId="22" applyFont="1" applyFill="1" applyBorder="1" applyAlignment="1">
      <alignment horizontal="centerContinuous" vertical="center"/>
    </xf>
    <xf numFmtId="168" fontId="14" fillId="8" borderId="22" xfId="0" applyNumberFormat="1" applyFont="1" applyFill="1" applyBorder="1" applyAlignment="1">
      <alignment horizontal="centerContinuous" vertical="center"/>
    </xf>
    <xf numFmtId="0" fontId="38" fillId="0" borderId="0" xfId="0" applyFont="1">
      <alignment horizontal="center" vertical="center"/>
    </xf>
    <xf numFmtId="0" fontId="38" fillId="0" borderId="0" xfId="0" applyFont="1" applyAlignment="1">
      <alignment horizontal="center"/>
    </xf>
    <xf numFmtId="0" fontId="25" fillId="0" borderId="22" xfId="22" applyNumberFormat="1" applyFont="1" applyBorder="1" applyAlignment="1">
      <alignment horizontal="center" vertical="center"/>
    </xf>
    <xf numFmtId="1" fontId="39" fillId="0" borderId="6" xfId="1" applyNumberFormat="1" applyFont="1" applyBorder="1" applyAlignment="1">
      <alignment horizontal="centerContinuous" vertical="center"/>
    </xf>
    <xf numFmtId="1" fontId="25" fillId="0" borderId="22" xfId="0" applyNumberFormat="1" applyFont="1" applyBorder="1" applyAlignment="1">
      <alignment horizontal="left" vertical="center"/>
    </xf>
    <xf numFmtId="1" fontId="25" fillId="0" borderId="22" xfId="0" applyNumberFormat="1" applyFont="1" applyFill="1" applyBorder="1" applyAlignment="1">
      <alignment horizontal="left" vertical="center"/>
    </xf>
    <xf numFmtId="0" fontId="25" fillId="0" borderId="22" xfId="0" applyNumberFormat="1" applyFont="1" applyBorder="1">
      <alignment horizontal="center" vertical="center"/>
    </xf>
    <xf numFmtId="0" fontId="0" fillId="0" borderId="0" xfId="0" applyFill="1">
      <alignment horizontal="center" vertical="center"/>
    </xf>
    <xf numFmtId="0" fontId="40" fillId="0" borderId="0" xfId="0" applyFont="1">
      <alignment horizontal="center" vertical="center"/>
    </xf>
    <xf numFmtId="1" fontId="22" fillId="8" borderId="0" xfId="0" applyNumberFormat="1" applyFont="1" applyFill="1" applyAlignment="1">
      <alignment horizontal="centerContinuous" vertical="center"/>
    </xf>
    <xf numFmtId="9" fontId="22" fillId="8" borderId="0" xfId="22" applyFont="1" applyFill="1" applyAlignment="1">
      <alignment horizontal="centerContinuous" vertical="center"/>
    </xf>
    <xf numFmtId="1" fontId="21" fillId="0" borderId="8" xfId="10" applyNumberFormat="1" applyFont="1" applyBorder="1">
      <alignment horizontal="center" vertical="center" wrapText="1"/>
    </xf>
    <xf numFmtId="0" fontId="21" fillId="0" borderId="8" xfId="9" applyFont="1" applyBorder="1">
      <alignment vertical="center"/>
    </xf>
    <xf numFmtId="0" fontId="21" fillId="0" borderId="8" xfId="10" applyFont="1" applyBorder="1">
      <alignment horizontal="center" vertical="center" wrapText="1"/>
    </xf>
    <xf numFmtId="1" fontId="21" fillId="0" borderId="23" xfId="10" applyNumberFormat="1" applyFont="1" applyBorder="1">
      <alignment horizontal="center" vertical="center" wrapText="1"/>
    </xf>
    <xf numFmtId="1" fontId="21" fillId="0" borderId="11" xfId="10" applyNumberFormat="1" applyFont="1" applyBorder="1">
      <alignment horizontal="center" vertical="center" wrapText="1"/>
    </xf>
    <xf numFmtId="9" fontId="21" fillId="0" borderId="8" xfId="22" applyFont="1" applyBorder="1" applyAlignment="1">
      <alignment horizontal="center" vertical="center" wrapText="1"/>
    </xf>
    <xf numFmtId="0" fontId="21" fillId="0" borderId="23" xfId="10" applyFont="1" applyBorder="1">
      <alignment horizontal="center" vertical="center" wrapText="1"/>
    </xf>
    <xf numFmtId="0" fontId="35" fillId="20" borderId="0" xfId="21" applyFont="1" applyFill="1" applyAlignment="1">
      <alignment horizontal="center" vertical="center" readingOrder="1"/>
    </xf>
    <xf numFmtId="0" fontId="35" fillId="20" borderId="27" xfId="21" applyFont="1" applyFill="1" applyBorder="1" applyAlignment="1">
      <alignment horizontal="center" vertical="center" readingOrder="1"/>
    </xf>
    <xf numFmtId="0" fontId="13" fillId="8" borderId="32" xfId="2" applyFont="1" applyFill="1" applyBorder="1" applyAlignment="1">
      <alignment horizontal="center" vertical="center" wrapText="1"/>
    </xf>
    <xf numFmtId="168" fontId="21" fillId="0" borderId="8" xfId="10" applyNumberFormat="1" applyFont="1" applyBorder="1">
      <alignment horizontal="center" vertical="center" wrapText="1"/>
    </xf>
    <xf numFmtId="168" fontId="21" fillId="0" borderId="23" xfId="10" applyNumberFormat="1" applyFont="1" applyBorder="1">
      <alignment horizontal="center" vertical="center" wrapText="1"/>
    </xf>
    <xf numFmtId="9" fontId="21" fillId="0" borderId="23" xfId="22" applyFont="1" applyBorder="1" applyAlignment="1">
      <alignment horizontal="center" vertical="center" wrapText="1"/>
    </xf>
    <xf numFmtId="0" fontId="35" fillId="20" borderId="30" xfId="21" applyFont="1" applyFill="1" applyBorder="1" applyAlignment="1">
      <alignment horizontal="center" vertical="center" readingOrder="1"/>
    </xf>
    <xf numFmtId="0" fontId="35" fillId="20" borderId="31" xfId="21" applyFont="1" applyFill="1" applyBorder="1" applyAlignment="1">
      <alignment horizontal="center" vertical="center" readingOrder="1"/>
    </xf>
    <xf numFmtId="0" fontId="18" fillId="0" borderId="11" xfId="5" applyFont="1" applyBorder="1">
      <alignment horizontal="left" vertical="center"/>
    </xf>
    <xf numFmtId="17" fontId="21" fillId="0" borderId="8" xfId="3" applyNumberFormat="1" applyFont="1" applyBorder="1" applyAlignment="1">
      <alignment horizontal="center" vertical="center"/>
    </xf>
    <xf numFmtId="0" fontId="18" fillId="0" borderId="8" xfId="0" applyFont="1" applyBorder="1" applyAlignment="1">
      <alignment horizontal="center" wrapText="1"/>
    </xf>
    <xf numFmtId="0" fontId="21" fillId="0" borderId="8" xfId="9" applyFont="1" applyBorder="1" applyAlignment="1">
      <alignment horizontal="center" vertical="center"/>
    </xf>
    <xf numFmtId="0" fontId="21" fillId="0" borderId="11" xfId="9" applyFont="1" applyBorder="1">
      <alignment vertical="center"/>
    </xf>
    <xf numFmtId="0" fontId="21" fillId="0" borderId="11" xfId="10" applyFont="1" applyBorder="1">
      <alignment horizontal="center" vertical="center" wrapText="1"/>
    </xf>
    <xf numFmtId="0" fontId="27" fillId="13" borderId="13" xfId="20" applyFont="1" applyFill="1" applyBorder="1" applyAlignment="1">
      <alignment horizontal="center" vertical="top"/>
    </xf>
    <xf numFmtId="0" fontId="27" fillId="13" borderId="14" xfId="20" applyFont="1" applyFill="1" applyBorder="1" applyAlignment="1">
      <alignment horizontal="center" vertical="top"/>
    </xf>
    <xf numFmtId="0" fontId="27" fillId="12" borderId="13" xfId="20" applyFont="1" applyFill="1" applyBorder="1" applyAlignment="1">
      <alignment horizontal="center" vertical="center"/>
    </xf>
    <xf numFmtId="0" fontId="27" fillId="12" borderId="14" xfId="20" applyFont="1" applyFill="1" applyBorder="1" applyAlignment="1">
      <alignment horizontal="center" vertical="center"/>
    </xf>
    <xf numFmtId="0" fontId="27" fillId="12" borderId="17" xfId="20" applyFont="1" applyFill="1" applyBorder="1" applyAlignment="1">
      <alignment horizontal="center" vertical="center"/>
    </xf>
    <xf numFmtId="0" fontId="27" fillId="12" borderId="15" xfId="20" applyFont="1" applyFill="1" applyBorder="1" applyAlignment="1">
      <alignment horizontal="center" vertical="center" wrapText="1"/>
    </xf>
    <xf numFmtId="0" fontId="27" fillId="12" borderId="16" xfId="20" applyFont="1" applyFill="1" applyBorder="1" applyAlignment="1">
      <alignment horizontal="center" vertical="center"/>
    </xf>
    <xf numFmtId="0" fontId="27" fillId="12" borderId="18" xfId="20" applyFont="1" applyFill="1" applyBorder="1" applyAlignment="1">
      <alignment horizontal="center" vertical="center"/>
    </xf>
    <xf numFmtId="0" fontId="27" fillId="12" borderId="17" xfId="19" applyFont="1" applyFill="1" applyBorder="1" applyAlignment="1">
      <alignment horizontal="center" vertical="center"/>
    </xf>
    <xf numFmtId="0" fontId="27" fillId="12" borderId="13" xfId="19" applyFont="1" applyFill="1" applyBorder="1" applyAlignment="1">
      <alignment horizontal="center" vertical="center"/>
    </xf>
    <xf numFmtId="0" fontId="27" fillId="12" borderId="19" xfId="19" applyFont="1" applyFill="1" applyBorder="1" applyAlignment="1">
      <alignment horizontal="center" vertical="center"/>
    </xf>
    <xf numFmtId="0" fontId="27" fillId="12" borderId="20" xfId="19" applyFont="1" applyFill="1" applyBorder="1" applyAlignment="1">
      <alignment horizontal="center" vertical="center" wrapText="1"/>
    </xf>
    <xf numFmtId="0" fontId="27" fillId="12" borderId="15" xfId="19" applyFont="1" applyFill="1" applyBorder="1" applyAlignment="1">
      <alignment horizontal="center" vertical="center" wrapText="1"/>
    </xf>
    <xf numFmtId="0" fontId="27" fillId="12" borderId="21" xfId="19" applyFont="1" applyFill="1" applyBorder="1" applyAlignment="1">
      <alignment horizontal="center" vertical="center"/>
    </xf>
    <xf numFmtId="0" fontId="27" fillId="12" borderId="18" xfId="19" applyFont="1" applyFill="1" applyBorder="1" applyAlignment="1">
      <alignment horizontal="center" vertical="center"/>
    </xf>
    <xf numFmtId="0" fontId="27" fillId="12" borderId="16" xfId="19" applyFont="1" applyFill="1" applyBorder="1" applyAlignment="1">
      <alignment horizontal="center" vertical="center"/>
    </xf>
    <xf numFmtId="0" fontId="27" fillId="13" borderId="13" xfId="19" applyFont="1" applyFill="1" applyBorder="1" applyAlignment="1">
      <alignment horizontal="center" vertical="center"/>
    </xf>
    <xf numFmtId="0" fontId="27" fillId="12" borderId="14" xfId="19" applyFont="1" applyFill="1" applyBorder="1" applyAlignment="1">
      <alignment horizontal="center" vertical="center"/>
    </xf>
  </cellXfs>
  <cellStyles count="23">
    <cellStyle name="% complete" xfId="16" xr:uid="{00000000-0005-0000-0000-000000000000}"/>
    <cellStyle name="% complete (beyond plan) legend" xfId="18" xr:uid="{00000000-0005-0000-0000-000001000000}"/>
    <cellStyle name="Activity" xfId="2" xr:uid="{00000000-0005-0000-0000-000002000000}"/>
    <cellStyle name="Actual (beyond plan) legend" xfId="17" xr:uid="{00000000-0005-0000-0000-000003000000}"/>
    <cellStyle name="Actual legend" xfId="15" xr:uid="{00000000-0005-0000-0000-000004000000}"/>
    <cellStyle name="Explanatory Text" xfId="12" builtinId="53" customBuiltin="1"/>
    <cellStyle name="Heading 1" xfId="1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Label" xfId="5" xr:uid="{00000000-0005-0000-0000-00000A000000}"/>
    <cellStyle name="Normal" xfId="0" builtinId="0" customBuiltin="1"/>
    <cellStyle name="Normal 2" xfId="19" xr:uid="{81D66917-80D1-49EC-8D4F-107F5358A482}"/>
    <cellStyle name="Normal 3" xfId="20" xr:uid="{4C2E7A16-55E3-49E7-872E-B4811AA46ED8}"/>
    <cellStyle name="Normal 4" xfId="21" xr:uid="{1D926AB4-7D65-46A8-8536-3E7CEB85FDC0}"/>
    <cellStyle name="Percent" xfId="22" builtinId="5"/>
    <cellStyle name="Percent Complete" xfId="6" xr:uid="{00000000-0005-0000-0000-00000C000000}"/>
    <cellStyle name="Period Headers" xfId="3" xr:uid="{00000000-0005-0000-0000-00000D000000}"/>
    <cellStyle name="Period Highlight Control" xfId="7" xr:uid="{00000000-0005-0000-0000-00000E000000}"/>
    <cellStyle name="Period Value" xfId="13" xr:uid="{00000000-0005-0000-0000-00000F000000}"/>
    <cellStyle name="Plan legend" xfId="14" xr:uid="{00000000-0005-0000-0000-000010000000}"/>
    <cellStyle name="Project Headers" xfId="4" xr:uid="{00000000-0005-0000-0000-000011000000}"/>
    <cellStyle name="Title" xfId="8" builtinId="15" customBuiltin="1"/>
  </cellStyles>
  <dxfs count="1198"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</dxfs>
  <tableStyles count="0" defaultTableStyle="TableStyleMedium2" defaultPivotStyle="PivotStyleLight16"/>
  <colors>
    <mruColors>
      <color rgb="FFD0D55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ntcon-my.sharepoint.com/personal/vishal_singh4_lntecc_com/Documents/Documents/OPD/Hospital%20Schedule%20for%20Client%20(110926).xlsx" TargetMode="External"/><Relationship Id="rId1" Type="http://schemas.openxmlformats.org/officeDocument/2006/relationships/externalLinkPath" Target="OPD/Hospital%20Schedule%20for%20Client%20(110926)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personal/etm_lntecc_com/Documents/Microsoft%20Teams%20Chat%20Files/Documents/OPD/OPD%20Schedule%20for%20Client%20(110926).xlsx" TargetMode="External"/><Relationship Id="rId2" Type="http://schemas.openxmlformats.org/officeDocument/2006/relationships/externalLinkPath" Target="https://lntcon-my.sharepoint.com/personal/vishal_singh4_lntecc_com/Documents/Documents/OPD/OPD%20Schedule%20for%20Client%20(110926).xlsx" TargetMode="External"/><Relationship Id="rId1" Type="http://schemas.openxmlformats.org/officeDocument/2006/relationships/externalLinkPath" Target="/personal/etm_lntecc_com/Documents/Microsoft%20Teams%20Chat%20Files/Documents/OPD/OPD%20Schedule%20for%20Client%20(110926)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ntcon-my.sharepoint.com/personal/vishal_singh4_lntecc_com/Documents/Documents/OPD/OPD%20Schedule%20for%20Client%20(110926).xlsx" TargetMode="External"/><Relationship Id="rId1" Type="http://schemas.openxmlformats.org/officeDocument/2006/relationships/externalLinkPath" Target="OPD/OPD%20Schedule%20for%20Client%20(110926)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personal/etm_lntecc_com/Documents/Microsoft%20Teams%20Chat%20Files/Documents/OPD/Hospital%20Schedule%20for%20Client%20(110926).xlsx" TargetMode="External"/><Relationship Id="rId2" Type="http://schemas.openxmlformats.org/officeDocument/2006/relationships/externalLinkPath" Target="https://lntcon-my.sharepoint.com/personal/vishal_singh4_lntecc_com/Documents/Documents/OPD/Hospital%20Schedule%20for%20Client%20(110926).xlsx" TargetMode="External"/><Relationship Id="rId1" Type="http://schemas.openxmlformats.org/officeDocument/2006/relationships/externalLinkPath" Target="/personal/etm_lntecc_com/Documents/Microsoft%20Teams%20Chat%20Files/Documents/OPD/Hospital%20Schedule%20for%20Client%20(1109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R"/>
      <sheetName val="OPD"/>
      <sheetName val="IPD"/>
    </sheetNames>
    <sheetDataSet>
      <sheetData sheetId="0">
        <row r="7">
          <cell r="B7" t="str">
            <v>Brickwork</v>
          </cell>
          <cell r="C7" t="str">
            <v>WIP</v>
          </cell>
          <cell r="D7">
            <v>46320</v>
          </cell>
        </row>
        <row r="8">
          <cell r="B8" t="str">
            <v>Plaster</v>
          </cell>
          <cell r="C8" t="str">
            <v>WIP</v>
          </cell>
          <cell r="D8">
            <v>46336</v>
          </cell>
        </row>
        <row r="9">
          <cell r="B9" t="str">
            <v>Ground Floor</v>
          </cell>
          <cell r="C9" t="str">
            <v>WIP</v>
          </cell>
          <cell r="D9">
            <v>46325</v>
          </cell>
        </row>
        <row r="10">
          <cell r="B10" t="str">
            <v>1st Floor</v>
          </cell>
          <cell r="C10" t="str">
            <v>WIP</v>
          </cell>
          <cell r="D10">
            <v>46315</v>
          </cell>
        </row>
        <row r="11">
          <cell r="B11" t="str">
            <v>2nd Floor</v>
          </cell>
          <cell r="C11" t="str">
            <v>WIP</v>
          </cell>
          <cell r="D11">
            <v>46310</v>
          </cell>
        </row>
        <row r="12">
          <cell r="B12" t="str">
            <v>3rd Floor</v>
          </cell>
          <cell r="C12" t="str">
            <v>WIP</v>
          </cell>
          <cell r="D12">
            <v>46310</v>
          </cell>
        </row>
        <row r="13">
          <cell r="B13" t="str">
            <v>Above terrace</v>
          </cell>
          <cell r="C13" t="str">
            <v>WIP</v>
          </cell>
          <cell r="D13">
            <v>46336</v>
          </cell>
        </row>
        <row r="14">
          <cell r="B14" t="str">
            <v>Aluminum Joineries</v>
          </cell>
          <cell r="C14" t="str">
            <v>WIP</v>
          </cell>
          <cell r="D14">
            <v>46371</v>
          </cell>
        </row>
        <row r="15">
          <cell r="B15" t="str">
            <v>Fire door frame &amp; shutter</v>
          </cell>
          <cell r="C15" t="str">
            <v>WIP</v>
          </cell>
          <cell r="D15">
            <v>46371</v>
          </cell>
        </row>
        <row r="16">
          <cell r="B16" t="str">
            <v>Flooring &amp; dado</v>
          </cell>
          <cell r="C16" t="str">
            <v>WIP</v>
          </cell>
          <cell r="D16">
            <v>46356</v>
          </cell>
        </row>
        <row r="17">
          <cell r="B17" t="str">
            <v>False Ceiling</v>
          </cell>
          <cell r="C17">
            <v>46310</v>
          </cell>
          <cell r="D17">
            <v>46370</v>
          </cell>
        </row>
        <row r="18">
          <cell r="B18" t="str">
            <v>Ground Floor</v>
          </cell>
          <cell r="C18">
            <v>46310</v>
          </cell>
          <cell r="D18">
            <v>46325</v>
          </cell>
        </row>
        <row r="19">
          <cell r="B19" t="str">
            <v>1st Floor</v>
          </cell>
          <cell r="C19">
            <v>46325</v>
          </cell>
          <cell r="D19">
            <v>46340</v>
          </cell>
        </row>
        <row r="20">
          <cell r="B20" t="str">
            <v>2nd Floor</v>
          </cell>
          <cell r="C20">
            <v>46340</v>
          </cell>
          <cell r="D20">
            <v>46355</v>
          </cell>
        </row>
        <row r="21">
          <cell r="B21" t="str">
            <v>3rd Floor</v>
          </cell>
          <cell r="C21">
            <v>46355</v>
          </cell>
          <cell r="D21">
            <v>46370</v>
          </cell>
        </row>
        <row r="22">
          <cell r="B22" t="str">
            <v>Lift facia granite</v>
          </cell>
          <cell r="C22">
            <v>46315</v>
          </cell>
          <cell r="D22">
            <v>46350</v>
          </cell>
        </row>
        <row r="23">
          <cell r="B23" t="str">
            <v xml:space="preserve">Courtyard Plaster </v>
          </cell>
          <cell r="C23">
            <v>46293</v>
          </cell>
          <cell r="D23">
            <v>46325</v>
          </cell>
        </row>
        <row r="24">
          <cell r="B24" t="str">
            <v>SS Handrail</v>
          </cell>
          <cell r="C24">
            <v>46336</v>
          </cell>
          <cell r="D24">
            <v>46372</v>
          </cell>
        </row>
        <row r="25">
          <cell r="B25" t="str">
            <v>Over Terrace</v>
          </cell>
        </row>
        <row r="26">
          <cell r="B26" t="str">
            <v>OHT&amp;Mummty</v>
          </cell>
          <cell r="C26">
            <v>46290</v>
          </cell>
          <cell r="D26">
            <v>46310</v>
          </cell>
        </row>
        <row r="27">
          <cell r="B27" t="str">
            <v>OHT Waterproofing &amp; Tiling</v>
          </cell>
          <cell r="C27">
            <v>46315</v>
          </cell>
          <cell r="D27">
            <v>46327</v>
          </cell>
        </row>
        <row r="28">
          <cell r="B28" t="str">
            <v>LMR</v>
          </cell>
          <cell r="C28" t="str">
            <v>WIP</v>
          </cell>
          <cell r="D28">
            <v>46311</v>
          </cell>
        </row>
        <row r="29">
          <cell r="B29" t="str">
            <v>Terrace Waterproofing&amp;HRT Tiles</v>
          </cell>
          <cell r="C29" t="str">
            <v>WIP</v>
          </cell>
          <cell r="D29">
            <v>46320</v>
          </cell>
        </row>
        <row r="30">
          <cell r="B30" t="str">
            <v>Pedestals</v>
          </cell>
          <cell r="C30" t="str">
            <v>WIP</v>
          </cell>
          <cell r="D30">
            <v>46325</v>
          </cell>
        </row>
        <row r="31">
          <cell r="B31" t="str">
            <v>Polycarbonate Sheet</v>
          </cell>
          <cell r="C31" t="str">
            <v>WIP</v>
          </cell>
          <cell r="D31">
            <v>46320</v>
          </cell>
        </row>
        <row r="32">
          <cell r="B32" t="str">
            <v>External</v>
          </cell>
        </row>
        <row r="33">
          <cell r="B33" t="str">
            <v>Shaft brickwork &amp; plaster</v>
          </cell>
        </row>
        <row r="34">
          <cell r="B34" t="str">
            <v>Elevation A</v>
          </cell>
          <cell r="C34" t="str">
            <v>WIP</v>
          </cell>
          <cell r="D34">
            <v>46320</v>
          </cell>
        </row>
        <row r="35">
          <cell r="B35" t="str">
            <v>Elevation B</v>
          </cell>
          <cell r="C35">
            <v>46295</v>
          </cell>
          <cell r="D35">
            <v>46326</v>
          </cell>
        </row>
        <row r="36">
          <cell r="B36" t="str">
            <v>Elevation C</v>
          </cell>
          <cell r="C36">
            <v>46283</v>
          </cell>
          <cell r="D36">
            <v>46295</v>
          </cell>
        </row>
        <row r="37">
          <cell r="B37" t="str">
            <v>Elevation D</v>
          </cell>
          <cell r="C37" t="str">
            <v>WIP</v>
          </cell>
          <cell r="D37">
            <v>46305</v>
          </cell>
        </row>
        <row r="38">
          <cell r="B38" t="str">
            <v>External Stone Cladding</v>
          </cell>
        </row>
        <row r="39">
          <cell r="B39" t="str">
            <v>Elevation A</v>
          </cell>
        </row>
        <row r="40">
          <cell r="B40" t="str">
            <v>Elevation B</v>
          </cell>
        </row>
        <row r="41">
          <cell r="B41" t="str">
            <v>Elevation C</v>
          </cell>
        </row>
        <row r="42">
          <cell r="B42" t="str">
            <v>Elevation D</v>
          </cell>
        </row>
        <row r="43">
          <cell r="B43" t="str">
            <v>Structural Glazing</v>
          </cell>
        </row>
        <row r="44">
          <cell r="B44" t="str">
            <v>Elevation A</v>
          </cell>
        </row>
        <row r="45">
          <cell r="B45" t="str">
            <v>Elevation B</v>
          </cell>
        </row>
        <row r="46">
          <cell r="B46" t="str">
            <v>Elevation C</v>
          </cell>
        </row>
        <row r="47">
          <cell r="B47" t="str">
            <v>Elevation D</v>
          </cell>
        </row>
        <row r="48">
          <cell r="B48" t="str">
            <v>MEP</v>
          </cell>
        </row>
        <row r="49">
          <cell r="B49" t="str">
            <v>Frist Fix</v>
          </cell>
        </row>
        <row r="50">
          <cell r="B50" t="str">
            <v>Electrical</v>
          </cell>
        </row>
        <row r="51">
          <cell r="B51" t="str">
            <v>Wall Conduit &amp; GI Box Fixing</v>
          </cell>
          <cell r="C51" t="str">
            <v xml:space="preserve">Completed </v>
          </cell>
        </row>
        <row r="52">
          <cell r="B52" t="str">
            <v>Cable Tray Installation</v>
          </cell>
          <cell r="C52" t="str">
            <v xml:space="preserve">Completed </v>
          </cell>
        </row>
        <row r="53">
          <cell r="B53" t="str">
            <v>DB Installation</v>
          </cell>
          <cell r="C53" t="str">
            <v xml:space="preserve">Completed </v>
          </cell>
        </row>
        <row r="54">
          <cell r="B54" t="str">
            <v>PHE</v>
          </cell>
        </row>
        <row r="55">
          <cell r="B55" t="str">
            <v>CI Pipiing</v>
          </cell>
          <cell r="C55" t="str">
            <v>WIP</v>
          </cell>
          <cell r="D55">
            <v>46366</v>
          </cell>
        </row>
        <row r="56">
          <cell r="B56" t="str">
            <v>CPVC Piping</v>
          </cell>
          <cell r="C56" t="str">
            <v>WIP</v>
          </cell>
          <cell r="D56">
            <v>46366</v>
          </cell>
        </row>
        <row r="57">
          <cell r="B57" t="str">
            <v>GI Piping</v>
          </cell>
          <cell r="C57" t="str">
            <v>WIP</v>
          </cell>
          <cell r="D57">
            <v>46366</v>
          </cell>
        </row>
        <row r="58">
          <cell r="B58" t="str">
            <v>HVAC</v>
          </cell>
        </row>
        <row r="59">
          <cell r="B59" t="str">
            <v>Ducting &amp; Insulation</v>
          </cell>
          <cell r="C59" t="str">
            <v>WIP</v>
          </cell>
          <cell r="D59">
            <v>46326</v>
          </cell>
        </row>
        <row r="60">
          <cell r="B60" t="str">
            <v>Piping installation</v>
          </cell>
          <cell r="C60" t="str">
            <v>WIP</v>
          </cell>
          <cell r="D60">
            <v>46326</v>
          </cell>
        </row>
        <row r="61">
          <cell r="B61" t="str">
            <v>AHU Installation</v>
          </cell>
          <cell r="C61" t="str">
            <v>WIP</v>
          </cell>
          <cell r="D61">
            <v>46326</v>
          </cell>
        </row>
        <row r="62">
          <cell r="B62" t="str">
            <v>Firefighting</v>
          </cell>
        </row>
        <row r="63">
          <cell r="B63" t="str">
            <v>Piping installation</v>
          </cell>
          <cell r="C63" t="str">
            <v>WIP</v>
          </cell>
          <cell r="D63">
            <v>46358</v>
          </cell>
        </row>
        <row r="64">
          <cell r="B64" t="str">
            <v>ELV</v>
          </cell>
        </row>
        <row r="65">
          <cell r="B65" t="str">
            <v>PVC conduiting &amp; GI box fixing</v>
          </cell>
          <cell r="C65" t="str">
            <v xml:space="preserve">Completed </v>
          </cell>
        </row>
        <row r="66">
          <cell r="B66" t="str">
            <v>Raceway Installation</v>
          </cell>
          <cell r="C66" t="str">
            <v xml:space="preserve">Completed </v>
          </cell>
        </row>
        <row r="67">
          <cell r="B67" t="str">
            <v>MGPS</v>
          </cell>
        </row>
        <row r="68">
          <cell r="B68" t="str">
            <v>Copper Pipning</v>
          </cell>
        </row>
        <row r="69">
          <cell r="B69" t="str">
            <v>PTTS</v>
          </cell>
          <cell r="C69" t="str">
            <v>WIP</v>
          </cell>
          <cell r="D69">
            <v>46366</v>
          </cell>
        </row>
        <row r="70">
          <cell r="B70" t="str">
            <v>Pipe Installation</v>
          </cell>
          <cell r="C70" t="str">
            <v>WIP</v>
          </cell>
          <cell r="D70">
            <v>46366</v>
          </cell>
        </row>
        <row r="71">
          <cell r="B71" t="str">
            <v>Second Fix</v>
          </cell>
        </row>
        <row r="72">
          <cell r="B72" t="str">
            <v>Electrical</v>
          </cell>
        </row>
        <row r="73">
          <cell r="B73" t="str">
            <v>Wiring</v>
          </cell>
          <cell r="C73" t="str">
            <v>WIP</v>
          </cell>
          <cell r="D73">
            <v>46386</v>
          </cell>
        </row>
        <row r="74">
          <cell r="B74" t="str">
            <v>Cable Laying &amp; Panel Installation</v>
          </cell>
          <cell r="C74" t="str">
            <v>WIP</v>
          </cell>
          <cell r="D74">
            <v>46386</v>
          </cell>
        </row>
        <row r="75">
          <cell r="B75" t="str">
            <v>UPS Installation</v>
          </cell>
          <cell r="C75" t="str">
            <v>WIP</v>
          </cell>
          <cell r="D75">
            <v>46386</v>
          </cell>
        </row>
        <row r="76">
          <cell r="B76" t="str">
            <v>DB Dresssing</v>
          </cell>
          <cell r="C76" t="str">
            <v>WIP</v>
          </cell>
          <cell r="D76">
            <v>46386</v>
          </cell>
        </row>
        <row r="77">
          <cell r="B77" t="str">
            <v>PHE</v>
          </cell>
        </row>
        <row r="78">
          <cell r="B78" t="str">
            <v>Cister&amp; Sensor Fixing</v>
          </cell>
          <cell r="C78" t="str">
            <v>WIP</v>
          </cell>
          <cell r="D78">
            <v>46305</v>
          </cell>
        </row>
        <row r="79">
          <cell r="B79" t="str">
            <v>HVAC</v>
          </cell>
        </row>
        <row r="80">
          <cell r="B80" t="str">
            <v>Duct testinfg &amp; dropper for diffusere</v>
          </cell>
          <cell r="C80" t="str">
            <v>WIP</v>
          </cell>
          <cell r="D80">
            <v>46386</v>
          </cell>
        </row>
        <row r="81">
          <cell r="B81" t="str">
            <v>Pipe Testing</v>
          </cell>
          <cell r="C81" t="str">
            <v>WIP</v>
          </cell>
          <cell r="D81">
            <v>46386</v>
          </cell>
        </row>
        <row r="82">
          <cell r="B82" t="str">
            <v>AHU Connection</v>
          </cell>
          <cell r="C82" t="str">
            <v>WIP</v>
          </cell>
          <cell r="D82">
            <v>46386</v>
          </cell>
        </row>
        <row r="83">
          <cell r="B83" t="str">
            <v>Firefighting</v>
          </cell>
        </row>
        <row r="84">
          <cell r="B84" t="str">
            <v>Sprinkler Flexible connection &amp; testing</v>
          </cell>
          <cell r="C84" t="str">
            <v>WIP</v>
          </cell>
          <cell r="D84">
            <v>46305</v>
          </cell>
        </row>
        <row r="85">
          <cell r="B85" t="str">
            <v>Wet Riser &amp; FHC installation</v>
          </cell>
          <cell r="C85" t="str">
            <v>WIP</v>
          </cell>
          <cell r="D85">
            <v>46305</v>
          </cell>
        </row>
        <row r="86">
          <cell r="B86" t="str">
            <v>ELV</v>
          </cell>
        </row>
        <row r="87">
          <cell r="B87" t="str">
            <v>CAT 6 cabling</v>
          </cell>
          <cell r="C87" t="str">
            <v>WIP</v>
          </cell>
          <cell r="D87">
            <v>46386</v>
          </cell>
        </row>
        <row r="88">
          <cell r="B88" t="str">
            <v>PA &amp; FAS cabling</v>
          </cell>
          <cell r="C88" t="str">
            <v>WIP</v>
          </cell>
          <cell r="D88">
            <v>46386</v>
          </cell>
        </row>
        <row r="89">
          <cell r="B89" t="str">
            <v>Fire Panel Installation</v>
          </cell>
          <cell r="C89" t="str">
            <v>WIP</v>
          </cell>
          <cell r="D89">
            <v>46386</v>
          </cell>
        </row>
        <row r="90">
          <cell r="B90" t="str">
            <v>Network Switch Installation &amp; connection</v>
          </cell>
          <cell r="C90" t="str">
            <v>WIP</v>
          </cell>
          <cell r="D90">
            <v>46386</v>
          </cell>
        </row>
        <row r="91">
          <cell r="B91" t="str">
            <v>MGPS</v>
          </cell>
        </row>
        <row r="92">
          <cell r="B92" t="str">
            <v>Copper Pipe testing</v>
          </cell>
          <cell r="C92" t="str">
            <v>WIP</v>
          </cell>
          <cell r="D92">
            <v>46386</v>
          </cell>
        </row>
        <row r="93">
          <cell r="B93" t="str">
            <v>PTTS</v>
          </cell>
        </row>
        <row r="94">
          <cell r="B94" t="str">
            <v>Pipe accessories fixing &amp; testing</v>
          </cell>
          <cell r="C94" t="str">
            <v>WIP</v>
          </cell>
          <cell r="D94">
            <v>46386</v>
          </cell>
        </row>
        <row r="95">
          <cell r="B95" t="str">
            <v>Final Fixture</v>
          </cell>
        </row>
        <row r="96">
          <cell r="B96" t="str">
            <v>Electrical</v>
          </cell>
        </row>
        <row r="97">
          <cell r="B97" t="str">
            <v>Switch Socket &amp; light fixture  Installation</v>
          </cell>
          <cell r="C97" t="str">
            <v>WIP</v>
          </cell>
          <cell r="D97">
            <v>46386</v>
          </cell>
        </row>
        <row r="98">
          <cell r="B98" t="str">
            <v>Cable termination &amp; panel testing</v>
          </cell>
          <cell r="C98" t="str">
            <v>WIP</v>
          </cell>
          <cell r="D98">
            <v>46386</v>
          </cell>
        </row>
        <row r="99">
          <cell r="B99" t="str">
            <v>UPS testing &amp; commissioning</v>
          </cell>
          <cell r="C99" t="str">
            <v>WIP</v>
          </cell>
          <cell r="D99">
            <v>46386</v>
          </cell>
        </row>
        <row r="100">
          <cell r="B100" t="str">
            <v>DB testing</v>
          </cell>
          <cell r="C100" t="str">
            <v>WIP</v>
          </cell>
          <cell r="D100">
            <v>46386</v>
          </cell>
        </row>
        <row r="101">
          <cell r="B101" t="str">
            <v>PHE</v>
          </cell>
        </row>
        <row r="102">
          <cell r="B102" t="str">
            <v>Fixtures Installation</v>
          </cell>
          <cell r="C102" t="str">
            <v>WIP</v>
          </cell>
          <cell r="D102">
            <v>46386</v>
          </cell>
        </row>
        <row r="103">
          <cell r="B103" t="str">
            <v>HVAC</v>
          </cell>
        </row>
        <row r="104">
          <cell r="B104" t="str">
            <v>Diffuser Installation</v>
          </cell>
          <cell r="C104" t="str">
            <v>WIP</v>
          </cell>
          <cell r="D104">
            <v>46386</v>
          </cell>
        </row>
        <row r="105">
          <cell r="B105" t="str">
            <v>AHU Testing</v>
          </cell>
          <cell r="C105" t="str">
            <v>WIP</v>
          </cell>
          <cell r="D105">
            <v>46386</v>
          </cell>
        </row>
        <row r="106">
          <cell r="B106" t="str">
            <v>Firefighting</v>
          </cell>
        </row>
        <row r="107">
          <cell r="B107" t="str">
            <v>Sprinkler Fixing</v>
          </cell>
          <cell r="C107" t="str">
            <v>WIP</v>
          </cell>
          <cell r="D107">
            <v>46386</v>
          </cell>
        </row>
        <row r="108">
          <cell r="B108" t="str">
            <v>ELV</v>
          </cell>
        </row>
        <row r="109">
          <cell r="B109" t="str">
            <v xml:space="preserve"> Fire Alam  &amp; PA Device Fixing</v>
          </cell>
          <cell r="C109" t="str">
            <v>WIP</v>
          </cell>
          <cell r="D109">
            <v>46386</v>
          </cell>
        </row>
        <row r="110">
          <cell r="B110" t="str">
            <v xml:space="preserve"> Telephone &amp; Data Socket Fixing</v>
          </cell>
          <cell r="C110" t="str">
            <v>WIP</v>
          </cell>
          <cell r="D110">
            <v>46386</v>
          </cell>
        </row>
        <row r="111">
          <cell r="B111" t="str">
            <v>Fire Panel testing &amp; device addressing</v>
          </cell>
          <cell r="C111" t="str">
            <v>WIP</v>
          </cell>
          <cell r="D111">
            <v>46386</v>
          </cell>
        </row>
        <row r="112">
          <cell r="B112" t="str">
            <v>Network Switch testing</v>
          </cell>
          <cell r="C112" t="str">
            <v>WIP</v>
          </cell>
          <cell r="D112">
            <v>46386</v>
          </cell>
        </row>
        <row r="113">
          <cell r="B113" t="str">
            <v>QMS , HMIS , Biometric , etc.</v>
          </cell>
          <cell r="C113" t="str">
            <v>WIP</v>
          </cell>
          <cell r="D113">
            <v>46386</v>
          </cell>
        </row>
        <row r="114">
          <cell r="B114" t="str">
            <v>MGPS</v>
          </cell>
        </row>
        <row r="115">
          <cell r="B115" t="str">
            <v>Outlet Installation</v>
          </cell>
        </row>
        <row r="116">
          <cell r="B116" t="str">
            <v>PTTS</v>
          </cell>
        </row>
        <row r="117">
          <cell r="B117" t="str">
            <v>PTTS station installation</v>
          </cell>
          <cell r="C117" t="str">
            <v>WIP</v>
          </cell>
          <cell r="D117">
            <v>46386</v>
          </cell>
        </row>
        <row r="118">
          <cell r="B118" t="str">
            <v>Terrace</v>
          </cell>
        </row>
        <row r="119">
          <cell r="B119" t="str">
            <v xml:space="preserve"> PHE Piping installation</v>
          </cell>
          <cell r="C119" t="str">
            <v>WIP</v>
          </cell>
          <cell r="D119">
            <v>46386</v>
          </cell>
        </row>
        <row r="120">
          <cell r="B120" t="str">
            <v>AHU Installation</v>
          </cell>
          <cell r="C120" t="str">
            <v>WIP</v>
          </cell>
          <cell r="D120">
            <v>46386</v>
          </cell>
        </row>
        <row r="121">
          <cell r="B121" t="str">
            <v>Fan Installation</v>
          </cell>
          <cell r="C121" t="str">
            <v>WIP</v>
          </cell>
          <cell r="D121">
            <v>46386</v>
          </cell>
        </row>
        <row r="122">
          <cell r="B122" t="str">
            <v>Cable Tray, Raceway Installation &amp; cable laying</v>
          </cell>
          <cell r="C122" t="str">
            <v>WIP</v>
          </cell>
          <cell r="D122">
            <v>46386</v>
          </cell>
        </row>
        <row r="123">
          <cell r="B123" t="str">
            <v>Solar Panel Installation</v>
          </cell>
          <cell r="C123" t="str">
            <v>WIP</v>
          </cell>
          <cell r="D123">
            <v>46386</v>
          </cell>
        </row>
        <row r="124">
          <cell r="B124" t="str">
            <v>DDC Panel Installation</v>
          </cell>
          <cell r="C124" t="str">
            <v>WIP</v>
          </cell>
          <cell r="D124">
            <v>46386</v>
          </cell>
        </row>
        <row r="125">
          <cell r="B125" t="str">
            <v>Booster Panel Installation</v>
          </cell>
          <cell r="C125" t="str">
            <v>WIP</v>
          </cell>
          <cell r="D125">
            <v>46386</v>
          </cell>
        </row>
        <row r="126">
          <cell r="B126" t="str">
            <v>Shaft</v>
          </cell>
        </row>
        <row r="127">
          <cell r="B127" t="str">
            <v>PHE Piping</v>
          </cell>
          <cell r="C127" t="str">
            <v>WIP</v>
          </cell>
          <cell r="D127">
            <v>46386</v>
          </cell>
        </row>
        <row r="128">
          <cell r="B128" t="str">
            <v>HVAC Ducting</v>
          </cell>
          <cell r="C128" t="str">
            <v>WIP</v>
          </cell>
          <cell r="D128">
            <v>46386</v>
          </cell>
        </row>
        <row r="129">
          <cell r="B129" t="str">
            <v>Rising Main Installation</v>
          </cell>
          <cell r="C129" t="str">
            <v>WIP</v>
          </cell>
          <cell r="D129">
            <v>46386</v>
          </cell>
        </row>
        <row r="130">
          <cell r="B130" t="str">
            <v>Cable Tray &amp; Raceway installation</v>
          </cell>
          <cell r="C130" t="str">
            <v>WIP</v>
          </cell>
          <cell r="D130">
            <v>46386</v>
          </cell>
        </row>
        <row r="131">
          <cell r="B131" t="str">
            <v>Lift Installation</v>
          </cell>
          <cell r="C131" t="str">
            <v>WIP</v>
          </cell>
          <cell r="D131">
            <v>46386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MR"/>
      <sheetName val="Sheet1"/>
      <sheetName val="OPD"/>
    </sheetNames>
    <sheetDataSet>
      <sheetData sheetId="0" refreshError="1"/>
      <sheetData sheetId="1" refreshError="1"/>
      <sheetData sheetId="2">
        <row r="1">
          <cell r="B1" t="str">
            <v>OPD Balance Activities Schedule (11-Sep-2026)</v>
          </cell>
        </row>
        <row r="2">
          <cell r="B2" t="str">
            <v>Activity</v>
          </cell>
          <cell r="C2" t="str">
            <v>Start</v>
          </cell>
          <cell r="D2" t="str">
            <v>End</v>
          </cell>
        </row>
        <row r="3">
          <cell r="B3" t="str">
            <v>Finishes</v>
          </cell>
        </row>
        <row r="4">
          <cell r="B4" t="str">
            <v>Brickwork</v>
          </cell>
          <cell r="C4" t="str">
            <v>Completed</v>
          </cell>
        </row>
        <row r="5">
          <cell r="B5" t="str">
            <v>Plaster</v>
          </cell>
          <cell r="C5" t="str">
            <v>WIP</v>
          </cell>
          <cell r="D5">
            <v>46320</v>
          </cell>
        </row>
        <row r="6">
          <cell r="B6" t="str">
            <v>Aluminum Joineries</v>
          </cell>
          <cell r="C6" t="str">
            <v>WIP</v>
          </cell>
          <cell r="D6">
            <v>46325</v>
          </cell>
        </row>
        <row r="7">
          <cell r="B7" t="str">
            <v>Fire door frame &amp; shutter</v>
          </cell>
          <cell r="C7" t="str">
            <v>WIP</v>
          </cell>
          <cell r="D7">
            <v>46325</v>
          </cell>
        </row>
        <row r="8">
          <cell r="B8" t="str">
            <v>Flooring &amp; Dado</v>
          </cell>
          <cell r="C8" t="str">
            <v>WIP</v>
          </cell>
          <cell r="D8">
            <v>46346</v>
          </cell>
        </row>
        <row r="9">
          <cell r="B9" t="str">
            <v>False Ceiling</v>
          </cell>
        </row>
        <row r="10">
          <cell r="B10" t="str">
            <v>a) Ground Floor</v>
          </cell>
          <cell r="C10" t="str">
            <v>WIP</v>
          </cell>
          <cell r="D10">
            <v>46310</v>
          </cell>
        </row>
        <row r="11">
          <cell r="B11" t="str">
            <v>b) First Floor</v>
          </cell>
          <cell r="C11">
            <v>46296</v>
          </cell>
          <cell r="D11">
            <v>46323</v>
          </cell>
        </row>
        <row r="12">
          <cell r="B12" t="str">
            <v>c) Second Floor</v>
          </cell>
          <cell r="C12">
            <v>46320</v>
          </cell>
          <cell r="D12">
            <v>46346</v>
          </cell>
        </row>
        <row r="13">
          <cell r="B13" t="str">
            <v>d) Third Floor</v>
          </cell>
          <cell r="C13">
            <v>46311</v>
          </cell>
          <cell r="D13">
            <v>46371</v>
          </cell>
        </row>
        <row r="14">
          <cell r="B14" t="str">
            <v>Lift facia granite</v>
          </cell>
          <cell r="C14">
            <v>46290</v>
          </cell>
          <cell r="D14">
            <v>46351</v>
          </cell>
        </row>
        <row r="15">
          <cell r="B15" t="str">
            <v>SS Handrail</v>
          </cell>
          <cell r="C15">
            <v>46310</v>
          </cell>
          <cell r="D15">
            <v>46355</v>
          </cell>
        </row>
        <row r="16">
          <cell r="B16" t="str">
            <v>Courtyard Plaster inc. Ramp</v>
          </cell>
          <cell r="C16" t="str">
            <v>WIP</v>
          </cell>
          <cell r="D16">
            <v>46325</v>
          </cell>
        </row>
        <row r="17">
          <cell r="B17" t="str">
            <v>Ramp Flooring</v>
          </cell>
          <cell r="C17">
            <v>46327</v>
          </cell>
          <cell r="D17">
            <v>46351</v>
          </cell>
        </row>
        <row r="18">
          <cell r="B18" t="str">
            <v>Over Terrace</v>
          </cell>
        </row>
        <row r="19">
          <cell r="B19" t="str">
            <v>OHT Waterproofing &amp; Tiling</v>
          </cell>
          <cell r="C19" t="str">
            <v>WIP</v>
          </cell>
        </row>
        <row r="20">
          <cell r="B20" t="str">
            <v>LMR</v>
          </cell>
          <cell r="C20" t="str">
            <v>WIP</v>
          </cell>
          <cell r="D20">
            <v>46295</v>
          </cell>
        </row>
        <row r="21">
          <cell r="B21" t="str">
            <v>Terrace Waterproofing&amp;HRT Tiles</v>
          </cell>
          <cell r="C21">
            <v>46323</v>
          </cell>
          <cell r="D21">
            <v>46368</v>
          </cell>
        </row>
        <row r="22">
          <cell r="B22" t="str">
            <v>Pedestals</v>
          </cell>
          <cell r="C22" t="str">
            <v>WIP</v>
          </cell>
          <cell r="D22">
            <v>46300</v>
          </cell>
        </row>
        <row r="23">
          <cell r="B23" t="str">
            <v>Polycarbonate Sheet</v>
          </cell>
          <cell r="C23" t="str">
            <v>WIP</v>
          </cell>
          <cell r="D23">
            <v>46315</v>
          </cell>
        </row>
        <row r="24">
          <cell r="B24" t="str">
            <v>External</v>
          </cell>
        </row>
        <row r="25">
          <cell r="B25" t="str">
            <v>Shaft brickwork &amp; plaster</v>
          </cell>
        </row>
        <row r="26">
          <cell r="B26" t="str">
            <v>Elevation C</v>
          </cell>
          <cell r="C26" t="str">
            <v>WIP</v>
          </cell>
          <cell r="D26">
            <v>46295</v>
          </cell>
        </row>
        <row r="27">
          <cell r="B27" t="str">
            <v>Elevation D</v>
          </cell>
          <cell r="C27">
            <v>46300</v>
          </cell>
          <cell r="D27">
            <v>46325</v>
          </cell>
        </row>
        <row r="28">
          <cell r="B28" t="str">
            <v>External Stone Cladding</v>
          </cell>
        </row>
        <row r="29">
          <cell r="B29" t="str">
            <v>Elevation A</v>
          </cell>
          <cell r="C29">
            <v>46301</v>
          </cell>
          <cell r="D29">
            <v>46310</v>
          </cell>
        </row>
        <row r="30">
          <cell r="B30" t="str">
            <v>Elevation B</v>
          </cell>
          <cell r="C30">
            <v>46285</v>
          </cell>
          <cell r="D30">
            <v>46305</v>
          </cell>
        </row>
        <row r="31">
          <cell r="B31" t="str">
            <v>Elevation C</v>
          </cell>
          <cell r="C31" t="str">
            <v>16-0ct</v>
          </cell>
          <cell r="D31">
            <v>46325</v>
          </cell>
        </row>
        <row r="32">
          <cell r="B32" t="str">
            <v>Elevation D</v>
          </cell>
          <cell r="C32">
            <v>46327</v>
          </cell>
          <cell r="D32">
            <v>46341</v>
          </cell>
        </row>
        <row r="33">
          <cell r="B33" t="str">
            <v>Structural Glazing</v>
          </cell>
        </row>
        <row r="34">
          <cell r="B34" t="str">
            <v>Elevation A</v>
          </cell>
          <cell r="C34">
            <v>46277</v>
          </cell>
          <cell r="D34">
            <v>46315</v>
          </cell>
        </row>
        <row r="35">
          <cell r="B35" t="str">
            <v>Elevation B</v>
          </cell>
          <cell r="C35">
            <v>46313</v>
          </cell>
          <cell r="D35">
            <v>46331</v>
          </cell>
        </row>
        <row r="36">
          <cell r="B36" t="str">
            <v>Elevation C</v>
          </cell>
          <cell r="C36">
            <v>46331</v>
          </cell>
          <cell r="D36">
            <v>46348</v>
          </cell>
        </row>
        <row r="37">
          <cell r="B37" t="str">
            <v>Elevation D</v>
          </cell>
          <cell r="C37">
            <v>46341</v>
          </cell>
          <cell r="D37">
            <v>46361</v>
          </cell>
        </row>
        <row r="38">
          <cell r="B38" t="str">
            <v>MEP</v>
          </cell>
        </row>
        <row r="39">
          <cell r="B39" t="str">
            <v>Frist Fix</v>
          </cell>
        </row>
        <row r="40">
          <cell r="B40" t="str">
            <v>Electrical</v>
          </cell>
        </row>
        <row r="41">
          <cell r="B41" t="str">
            <v>Cable Tray Installation</v>
          </cell>
          <cell r="C41" t="str">
            <v>WIP</v>
          </cell>
          <cell r="D41">
            <v>46305</v>
          </cell>
        </row>
        <row r="42">
          <cell r="B42" t="str">
            <v>PHE</v>
          </cell>
        </row>
        <row r="43">
          <cell r="B43" t="str">
            <v>CI Pipiing</v>
          </cell>
          <cell r="C43" t="str">
            <v>WIP</v>
          </cell>
          <cell r="D43">
            <v>46293</v>
          </cell>
        </row>
        <row r="44">
          <cell r="B44" t="str">
            <v>GI Piping</v>
          </cell>
          <cell r="C44" t="str">
            <v>WIP</v>
          </cell>
          <cell r="D44">
            <v>46315</v>
          </cell>
        </row>
        <row r="45">
          <cell r="B45" t="str">
            <v>HVAC</v>
          </cell>
        </row>
        <row r="46">
          <cell r="B46" t="str">
            <v>Ducting &amp; Insulation</v>
          </cell>
          <cell r="C46" t="str">
            <v>WIP</v>
          </cell>
          <cell r="D46">
            <v>46285</v>
          </cell>
        </row>
        <row r="47">
          <cell r="B47" t="str">
            <v>Firefighting</v>
          </cell>
        </row>
        <row r="48">
          <cell r="B48" t="str">
            <v>Piping installation</v>
          </cell>
          <cell r="C48" t="str">
            <v>WIP</v>
          </cell>
          <cell r="D48">
            <v>46285</v>
          </cell>
        </row>
        <row r="49">
          <cell r="B49" t="str">
            <v>MGPS</v>
          </cell>
        </row>
        <row r="50">
          <cell r="B50" t="str">
            <v>Copper Pipning</v>
          </cell>
          <cell r="C50" t="str">
            <v>WIP</v>
          </cell>
          <cell r="D50">
            <v>46325</v>
          </cell>
        </row>
        <row r="51">
          <cell r="B51" t="str">
            <v>PTTS</v>
          </cell>
        </row>
        <row r="52">
          <cell r="B52" t="str">
            <v>Pipe installation</v>
          </cell>
          <cell r="C52" t="str">
            <v>WIP</v>
          </cell>
          <cell r="D52">
            <v>46325</v>
          </cell>
        </row>
        <row r="53">
          <cell r="B53" t="str">
            <v>Second Fix</v>
          </cell>
        </row>
        <row r="54">
          <cell r="B54" t="str">
            <v>Electrical</v>
          </cell>
        </row>
        <row r="55">
          <cell r="B55" t="str">
            <v>Wiring</v>
          </cell>
          <cell r="C55" t="str">
            <v>WIP</v>
          </cell>
          <cell r="D55">
            <v>46325</v>
          </cell>
        </row>
        <row r="56">
          <cell r="B56" t="str">
            <v>Cable Laying &amp; Panel Installation</v>
          </cell>
          <cell r="C56" t="str">
            <v>WIP</v>
          </cell>
          <cell r="D56">
            <v>46325</v>
          </cell>
        </row>
        <row r="57">
          <cell r="B57" t="str">
            <v>UPS Installation</v>
          </cell>
          <cell r="C57">
            <v>46291</v>
          </cell>
          <cell r="D57">
            <v>46305</v>
          </cell>
        </row>
        <row r="58">
          <cell r="B58" t="str">
            <v>DB Dresssing</v>
          </cell>
          <cell r="C58" t="str">
            <v>WIP</v>
          </cell>
          <cell r="D58">
            <v>46336</v>
          </cell>
        </row>
        <row r="59">
          <cell r="B59" t="str">
            <v>PHE</v>
          </cell>
        </row>
        <row r="60">
          <cell r="B60" t="str">
            <v>Cister&amp; Sensor Fixing</v>
          </cell>
          <cell r="C60" t="str">
            <v>WIP</v>
          </cell>
          <cell r="D60">
            <v>46288</v>
          </cell>
        </row>
        <row r="61">
          <cell r="B61" t="str">
            <v>HVAC</v>
          </cell>
        </row>
        <row r="62">
          <cell r="B62" t="str">
            <v>Duct testinfg &amp; dropper for diffusere</v>
          </cell>
          <cell r="C62" t="str">
            <v>WIP</v>
          </cell>
          <cell r="D62">
            <v>46366</v>
          </cell>
        </row>
        <row r="63">
          <cell r="B63" t="str">
            <v>Pipe Testing</v>
          </cell>
          <cell r="C63" t="str">
            <v>WIP</v>
          </cell>
          <cell r="D63">
            <v>46310</v>
          </cell>
        </row>
        <row r="64">
          <cell r="B64" t="str">
            <v>AHU Connection</v>
          </cell>
          <cell r="C64" t="str">
            <v>WIP</v>
          </cell>
          <cell r="D64">
            <v>46311</v>
          </cell>
        </row>
        <row r="65">
          <cell r="B65" t="str">
            <v>Firefighting</v>
          </cell>
        </row>
        <row r="66">
          <cell r="B66" t="str">
            <v>Sprinkler Flexible connection &amp; testing</v>
          </cell>
          <cell r="C66" t="str">
            <v>WIP</v>
          </cell>
          <cell r="D66">
            <v>46340</v>
          </cell>
        </row>
        <row r="67">
          <cell r="B67" t="str">
            <v>Wet Riser &amp; FHC installation</v>
          </cell>
          <cell r="C67" t="str">
            <v>WIP</v>
          </cell>
          <cell r="D67">
            <v>46319</v>
          </cell>
        </row>
        <row r="68">
          <cell r="B68" t="str">
            <v>ELV</v>
          </cell>
        </row>
        <row r="69">
          <cell r="B69" t="str">
            <v>CAT 6 cabling</v>
          </cell>
          <cell r="C69" t="str">
            <v>WIP</v>
          </cell>
          <cell r="D69">
            <v>46341</v>
          </cell>
        </row>
        <row r="70">
          <cell r="B70" t="str">
            <v>PA &amp; FAS cabling</v>
          </cell>
          <cell r="C70" t="str">
            <v>WIP</v>
          </cell>
          <cell r="D70">
            <v>46341</v>
          </cell>
        </row>
        <row r="71">
          <cell r="B71" t="str">
            <v>Fire Panel Installation</v>
          </cell>
          <cell r="C71">
            <v>46291</v>
          </cell>
          <cell r="D71">
            <v>46295</v>
          </cell>
        </row>
        <row r="72">
          <cell r="B72" t="str">
            <v>Network Switch Installation &amp; connection</v>
          </cell>
          <cell r="C72" t="str">
            <v>WIP</v>
          </cell>
          <cell r="D72">
            <v>46346</v>
          </cell>
        </row>
        <row r="73">
          <cell r="B73" t="str">
            <v>MGPS</v>
          </cell>
        </row>
        <row r="74">
          <cell r="B74" t="str">
            <v>Copper Pipe testing</v>
          </cell>
          <cell r="C74">
            <v>46310</v>
          </cell>
          <cell r="D74">
            <v>46371</v>
          </cell>
        </row>
        <row r="75">
          <cell r="B75" t="str">
            <v>PTTS</v>
          </cell>
        </row>
        <row r="76">
          <cell r="B76" t="str">
            <v>Pipe accessories fixing &amp; testing</v>
          </cell>
          <cell r="C76" t="str">
            <v>WIP</v>
          </cell>
          <cell r="D76">
            <v>46386</v>
          </cell>
        </row>
        <row r="77">
          <cell r="B77" t="str">
            <v>Final Fixture</v>
          </cell>
        </row>
        <row r="78">
          <cell r="B78" t="str">
            <v>Electrical</v>
          </cell>
        </row>
        <row r="79">
          <cell r="B79" t="str">
            <v>Switch Socket &amp; light fixture Installation</v>
          </cell>
          <cell r="C79" t="str">
            <v>WIP</v>
          </cell>
          <cell r="D79">
            <v>46376</v>
          </cell>
        </row>
        <row r="80">
          <cell r="B80" t="str">
            <v>Cable termination &amp; panel testing</v>
          </cell>
          <cell r="C80">
            <v>46293</v>
          </cell>
          <cell r="D80">
            <v>46348</v>
          </cell>
        </row>
        <row r="81">
          <cell r="B81" t="str">
            <v>UPS testing &amp; commissioning</v>
          </cell>
          <cell r="C81">
            <v>46305</v>
          </cell>
          <cell r="D81">
            <v>46310</v>
          </cell>
        </row>
        <row r="82">
          <cell r="B82" t="str">
            <v>DB testing</v>
          </cell>
          <cell r="C82" t="str">
            <v>WIP</v>
          </cell>
          <cell r="D82">
            <v>46325</v>
          </cell>
        </row>
        <row r="83">
          <cell r="B83" t="str">
            <v>PHE</v>
          </cell>
        </row>
        <row r="84">
          <cell r="B84" t="str">
            <v>Fixtures Installation</v>
          </cell>
          <cell r="C84">
            <v>46305</v>
          </cell>
          <cell r="D84">
            <v>46376</v>
          </cell>
        </row>
        <row r="85">
          <cell r="B85" t="str">
            <v>HVAC</v>
          </cell>
        </row>
        <row r="86">
          <cell r="B86" t="str">
            <v>Diffuser Installation</v>
          </cell>
          <cell r="C86">
            <v>46310</v>
          </cell>
          <cell r="D86">
            <v>46371</v>
          </cell>
        </row>
        <row r="87">
          <cell r="B87" t="str">
            <v>AHU Testing</v>
          </cell>
          <cell r="C87">
            <v>46310</v>
          </cell>
          <cell r="D87">
            <v>46381</v>
          </cell>
        </row>
        <row r="88">
          <cell r="B88" t="str">
            <v>Firefighting</v>
          </cell>
        </row>
        <row r="89">
          <cell r="B89" t="str">
            <v>Sprinkler Fixing</v>
          </cell>
          <cell r="C89" t="str">
            <v>WIP</v>
          </cell>
          <cell r="D89">
            <v>46351</v>
          </cell>
        </row>
        <row r="90">
          <cell r="B90" t="str">
            <v>ELV</v>
          </cell>
        </row>
        <row r="91">
          <cell r="B91" t="str">
            <v>Fire Alarm &amp; PA Device Fixing</v>
          </cell>
          <cell r="C91">
            <v>46315</v>
          </cell>
          <cell r="D91">
            <v>46381</v>
          </cell>
        </row>
        <row r="92">
          <cell r="B92" t="str">
            <v>Telephone &amp; Data Socket Fixing</v>
          </cell>
          <cell r="C92">
            <v>46315</v>
          </cell>
          <cell r="D92">
            <v>46381</v>
          </cell>
        </row>
        <row r="93">
          <cell r="B93" t="str">
            <v>Fire Panel testing &amp; device addressing</v>
          </cell>
          <cell r="C93">
            <v>46315</v>
          </cell>
          <cell r="D93">
            <v>46381</v>
          </cell>
        </row>
        <row r="94">
          <cell r="B94" t="str">
            <v>Network Switch testing</v>
          </cell>
          <cell r="C94">
            <v>46315</v>
          </cell>
          <cell r="D94">
            <v>46381</v>
          </cell>
        </row>
        <row r="95">
          <cell r="B95" t="str">
            <v>QMS , HMIS , Biometric , etc.</v>
          </cell>
          <cell r="C95">
            <v>46315</v>
          </cell>
          <cell r="D95">
            <v>46381</v>
          </cell>
        </row>
        <row r="96">
          <cell r="B96" t="str">
            <v>MGPS</v>
          </cell>
        </row>
        <row r="97">
          <cell r="B97" t="str">
            <v>Outlet Installation</v>
          </cell>
          <cell r="C97">
            <v>46315</v>
          </cell>
          <cell r="D97">
            <v>46386</v>
          </cell>
        </row>
        <row r="98">
          <cell r="B98" t="str">
            <v>PTTS</v>
          </cell>
        </row>
        <row r="99">
          <cell r="B99" t="str">
            <v>PTTS station installation</v>
          </cell>
          <cell r="C99">
            <v>46315</v>
          </cell>
          <cell r="D99">
            <v>46386</v>
          </cell>
        </row>
        <row r="100">
          <cell r="B100" t="str">
            <v>Terrace</v>
          </cell>
        </row>
        <row r="101">
          <cell r="B101" t="str">
            <v>PHE Piping installation</v>
          </cell>
          <cell r="C101" t="str">
            <v>WIP</v>
          </cell>
          <cell r="D101">
            <v>46322</v>
          </cell>
        </row>
        <row r="102">
          <cell r="B102" t="str">
            <v>Cable Tray, Raceway Installation &amp; cable laying</v>
          </cell>
          <cell r="C102">
            <v>46300</v>
          </cell>
          <cell r="D102">
            <v>46320</v>
          </cell>
        </row>
        <row r="103">
          <cell r="B103" t="str">
            <v>Solar Panel Installation</v>
          </cell>
          <cell r="C103">
            <v>46300</v>
          </cell>
          <cell r="D103">
            <v>46320</v>
          </cell>
        </row>
        <row r="104">
          <cell r="B104" t="str">
            <v>DDC Panel Installation</v>
          </cell>
          <cell r="C104">
            <v>46300</v>
          </cell>
          <cell r="D104">
            <v>46320</v>
          </cell>
        </row>
        <row r="105">
          <cell r="B105" t="str">
            <v>Booster Panel Installation</v>
          </cell>
          <cell r="C105">
            <v>46300</v>
          </cell>
          <cell r="D105">
            <v>46310</v>
          </cell>
        </row>
        <row r="106">
          <cell r="B106" t="str">
            <v>Shaft</v>
          </cell>
        </row>
        <row r="107">
          <cell r="B107" t="str">
            <v>PHE Piping</v>
          </cell>
          <cell r="C107" t="str">
            <v>WIP</v>
          </cell>
          <cell r="D107">
            <v>46325</v>
          </cell>
        </row>
        <row r="108">
          <cell r="B108" t="str">
            <v>HVAC Ducting</v>
          </cell>
          <cell r="C108" t="str">
            <v>WIP</v>
          </cell>
          <cell r="D108">
            <v>46356</v>
          </cell>
        </row>
        <row r="109">
          <cell r="B109" t="str">
            <v>Rising Main Installation</v>
          </cell>
          <cell r="C109">
            <v>46310</v>
          </cell>
          <cell r="D109">
            <v>46320</v>
          </cell>
        </row>
        <row r="110">
          <cell r="B110" t="str">
            <v>Cable Tray &amp; Raceway installation</v>
          </cell>
          <cell r="C110">
            <v>46305</v>
          </cell>
          <cell r="D110">
            <v>46320</v>
          </cell>
        </row>
        <row r="111">
          <cell r="B111" t="str">
            <v>Lift Installation</v>
          </cell>
          <cell r="C111" t="str">
            <v>WIP</v>
          </cell>
          <cell r="D111">
            <v>46356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R"/>
      <sheetName val="Sheet1"/>
      <sheetName val="OPD"/>
    </sheetNames>
    <sheetDataSet>
      <sheetData sheetId="0" refreshError="1"/>
      <sheetData sheetId="1" refreshError="1"/>
      <sheetData sheetId="2">
        <row r="1">
          <cell r="B1" t="str">
            <v>OPD Balance Activities Schedule (11-Sep-2026)</v>
          </cell>
        </row>
        <row r="54">
          <cell r="B54" t="str">
            <v>Electrical</v>
          </cell>
        </row>
        <row r="55">
          <cell r="B55" t="str">
            <v>Wiring</v>
          </cell>
          <cell r="C55" t="str">
            <v>WIP</v>
          </cell>
          <cell r="D55">
            <v>46325</v>
          </cell>
        </row>
        <row r="56">
          <cell r="B56" t="str">
            <v>Cable Laying &amp; Panel Installation</v>
          </cell>
          <cell r="C56" t="str">
            <v>WIP</v>
          </cell>
          <cell r="D56">
            <v>46325</v>
          </cell>
        </row>
        <row r="57">
          <cell r="B57" t="str">
            <v>UPS Installation</v>
          </cell>
          <cell r="C57">
            <v>46291</v>
          </cell>
          <cell r="D57">
            <v>46305</v>
          </cell>
        </row>
        <row r="58">
          <cell r="B58" t="str">
            <v>DB Dresssing</v>
          </cell>
          <cell r="C58" t="str">
            <v>WIP</v>
          </cell>
          <cell r="D58">
            <v>46336</v>
          </cell>
        </row>
        <row r="59">
          <cell r="B59" t="str">
            <v>PHE</v>
          </cell>
        </row>
        <row r="60">
          <cell r="B60" t="str">
            <v>Cister&amp; Sensor Fixing</v>
          </cell>
          <cell r="C60" t="str">
            <v>WIP</v>
          </cell>
          <cell r="D60">
            <v>46288</v>
          </cell>
        </row>
        <row r="61">
          <cell r="B61" t="str">
            <v>HVAC</v>
          </cell>
        </row>
        <row r="62">
          <cell r="B62" t="str">
            <v>Duct testinfg &amp; dropper for diffusere</v>
          </cell>
          <cell r="C62" t="str">
            <v>WIP</v>
          </cell>
          <cell r="D62">
            <v>46366</v>
          </cell>
        </row>
        <row r="63">
          <cell r="B63" t="str">
            <v>Pipe Testing</v>
          </cell>
          <cell r="C63" t="str">
            <v>WIP</v>
          </cell>
          <cell r="D63">
            <v>46310</v>
          </cell>
        </row>
        <row r="64">
          <cell r="B64" t="str">
            <v>AHU Connection</v>
          </cell>
          <cell r="C64" t="str">
            <v>WIP</v>
          </cell>
          <cell r="D64">
            <v>46311</v>
          </cell>
        </row>
        <row r="65">
          <cell r="B65" t="str">
            <v>Firefighting</v>
          </cell>
        </row>
        <row r="66">
          <cell r="B66" t="str">
            <v>Sprinkler Flexible connection &amp; testing</v>
          </cell>
          <cell r="C66" t="str">
            <v>WIP</v>
          </cell>
          <cell r="D66">
            <v>46340</v>
          </cell>
        </row>
        <row r="67">
          <cell r="B67" t="str">
            <v>Wet Riser &amp; FHC installation</v>
          </cell>
          <cell r="C67" t="str">
            <v>WIP</v>
          </cell>
          <cell r="D67">
            <v>46319</v>
          </cell>
        </row>
        <row r="68">
          <cell r="B68" t="str">
            <v>ELV</v>
          </cell>
        </row>
        <row r="69">
          <cell r="B69" t="str">
            <v>CAT 6 cabling</v>
          </cell>
          <cell r="C69" t="str">
            <v>WIP</v>
          </cell>
          <cell r="D69">
            <v>46341</v>
          </cell>
        </row>
        <row r="70">
          <cell r="B70" t="str">
            <v>PA &amp; FAS cabling</v>
          </cell>
          <cell r="C70" t="str">
            <v>WIP</v>
          </cell>
          <cell r="D70">
            <v>46341</v>
          </cell>
        </row>
        <row r="71">
          <cell r="B71" t="str">
            <v>Fire Panel Installation</v>
          </cell>
          <cell r="C71">
            <v>46291</v>
          </cell>
          <cell r="D71">
            <v>46295</v>
          </cell>
        </row>
        <row r="72">
          <cell r="B72" t="str">
            <v>Network Switch Installation &amp; connection</v>
          </cell>
          <cell r="C72" t="str">
            <v>WIP</v>
          </cell>
          <cell r="D72">
            <v>46346</v>
          </cell>
        </row>
        <row r="73">
          <cell r="B73" t="str">
            <v>MGPS</v>
          </cell>
        </row>
        <row r="74">
          <cell r="B74" t="str">
            <v>Copper Pipe testing</v>
          </cell>
          <cell r="C74">
            <v>46310</v>
          </cell>
          <cell r="D74">
            <v>46371</v>
          </cell>
        </row>
        <row r="75">
          <cell r="B75" t="str">
            <v>PTTS</v>
          </cell>
        </row>
        <row r="76">
          <cell r="B76" t="str">
            <v>Pipe accessories fixing &amp; testing</v>
          </cell>
          <cell r="C76" t="str">
            <v>WIP</v>
          </cell>
          <cell r="D76">
            <v>46386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MR"/>
      <sheetName val="OPD"/>
      <sheetName val="IPD"/>
    </sheetNames>
    <sheetDataSet>
      <sheetData sheetId="0">
        <row r="7">
          <cell r="B7" t="str">
            <v>Brickwork</v>
          </cell>
          <cell r="C7" t="str">
            <v>WIP</v>
          </cell>
          <cell r="D7">
            <v>46320</v>
          </cell>
        </row>
        <row r="8">
          <cell r="B8" t="str">
            <v>Plaster</v>
          </cell>
          <cell r="C8" t="str">
            <v>WIP</v>
          </cell>
          <cell r="D8">
            <v>46336</v>
          </cell>
        </row>
        <row r="9">
          <cell r="B9" t="str">
            <v>Ground Floor</v>
          </cell>
          <cell r="C9" t="str">
            <v>WIP</v>
          </cell>
          <cell r="D9">
            <v>46325</v>
          </cell>
        </row>
        <row r="10">
          <cell r="B10" t="str">
            <v>1st Floor</v>
          </cell>
          <cell r="C10" t="str">
            <v>WIP</v>
          </cell>
          <cell r="D10">
            <v>46315</v>
          </cell>
        </row>
        <row r="11">
          <cell r="B11" t="str">
            <v>2nd Floor</v>
          </cell>
          <cell r="C11" t="str">
            <v>WIP</v>
          </cell>
          <cell r="D11">
            <v>46310</v>
          </cell>
        </row>
        <row r="12">
          <cell r="B12" t="str">
            <v>3rd Floor</v>
          </cell>
          <cell r="C12" t="str">
            <v>WIP</v>
          </cell>
          <cell r="D12">
            <v>46310</v>
          </cell>
        </row>
        <row r="13">
          <cell r="B13" t="str">
            <v>Above terrace</v>
          </cell>
          <cell r="C13" t="str">
            <v>WIP</v>
          </cell>
          <cell r="D13">
            <v>46336</v>
          </cell>
        </row>
        <row r="14">
          <cell r="B14" t="str">
            <v>Aluminum Joineries</v>
          </cell>
          <cell r="C14" t="str">
            <v>WIP</v>
          </cell>
          <cell r="D14">
            <v>46371</v>
          </cell>
        </row>
        <row r="15">
          <cell r="B15" t="str">
            <v>Fire door frame &amp; shutter</v>
          </cell>
          <cell r="C15" t="str">
            <v>WIP</v>
          </cell>
          <cell r="D15">
            <v>46371</v>
          </cell>
        </row>
        <row r="16">
          <cell r="B16" t="str">
            <v>Flooring &amp; dado</v>
          </cell>
          <cell r="C16" t="str">
            <v>WIP</v>
          </cell>
          <cell r="D16">
            <v>46356</v>
          </cell>
        </row>
        <row r="17">
          <cell r="B17" t="str">
            <v>False Ceiling</v>
          </cell>
          <cell r="C17">
            <v>46310</v>
          </cell>
          <cell r="D17">
            <v>46370</v>
          </cell>
        </row>
        <row r="18">
          <cell r="B18" t="str">
            <v>Ground Floor</v>
          </cell>
          <cell r="C18">
            <v>46310</v>
          </cell>
          <cell r="D18">
            <v>46325</v>
          </cell>
        </row>
        <row r="19">
          <cell r="B19" t="str">
            <v>1st Floor</v>
          </cell>
          <cell r="C19">
            <v>46325</v>
          </cell>
          <cell r="D19">
            <v>46340</v>
          </cell>
        </row>
        <row r="20">
          <cell r="B20" t="str">
            <v>2nd Floor</v>
          </cell>
          <cell r="C20">
            <v>46340</v>
          </cell>
          <cell r="D20">
            <v>46355</v>
          </cell>
        </row>
        <row r="21">
          <cell r="B21" t="str">
            <v>3rd Floor</v>
          </cell>
          <cell r="C21">
            <v>46355</v>
          </cell>
          <cell r="D21">
            <v>46370</v>
          </cell>
        </row>
        <row r="22">
          <cell r="B22" t="str">
            <v>Lift facia granite</v>
          </cell>
          <cell r="C22">
            <v>46315</v>
          </cell>
          <cell r="D22">
            <v>46350</v>
          </cell>
        </row>
        <row r="23">
          <cell r="B23" t="str">
            <v xml:space="preserve">Courtyard Plaster </v>
          </cell>
          <cell r="C23">
            <v>46293</v>
          </cell>
          <cell r="D23">
            <v>46325</v>
          </cell>
        </row>
        <row r="24">
          <cell r="B24" t="str">
            <v>SS Handrail</v>
          </cell>
          <cell r="C24">
            <v>46336</v>
          </cell>
          <cell r="D24">
            <v>46372</v>
          </cell>
        </row>
        <row r="25">
          <cell r="B25" t="str">
            <v>Over Terrace</v>
          </cell>
        </row>
        <row r="26">
          <cell r="B26" t="str">
            <v>OHT&amp;Mummty</v>
          </cell>
          <cell r="C26">
            <v>46290</v>
          </cell>
          <cell r="D26">
            <v>46310</v>
          </cell>
        </row>
        <row r="27">
          <cell r="B27" t="str">
            <v>OHT Waterproofing &amp; Tiling</v>
          </cell>
          <cell r="C27">
            <v>46315</v>
          </cell>
          <cell r="D27">
            <v>46327</v>
          </cell>
        </row>
        <row r="28">
          <cell r="B28" t="str">
            <v>LMR</v>
          </cell>
          <cell r="C28" t="str">
            <v>WIP</v>
          </cell>
          <cell r="D28">
            <v>46311</v>
          </cell>
        </row>
        <row r="29">
          <cell r="B29" t="str">
            <v>Terrace Waterproofing&amp;HRT Tiles</v>
          </cell>
          <cell r="C29" t="str">
            <v>WIP</v>
          </cell>
          <cell r="D29">
            <v>46320</v>
          </cell>
        </row>
        <row r="30">
          <cell r="B30" t="str">
            <v>Pedestals</v>
          </cell>
          <cell r="C30" t="str">
            <v>WIP</v>
          </cell>
          <cell r="D30">
            <v>46325</v>
          </cell>
        </row>
        <row r="31">
          <cell r="B31" t="str">
            <v>Polycarbonate Sheet</v>
          </cell>
          <cell r="C31" t="str">
            <v>WIP</v>
          </cell>
          <cell r="D31">
            <v>46320</v>
          </cell>
        </row>
        <row r="32">
          <cell r="B32" t="str">
            <v>External</v>
          </cell>
        </row>
        <row r="33">
          <cell r="B33" t="str">
            <v>Shaft brickwork &amp; plaster</v>
          </cell>
        </row>
        <row r="34">
          <cell r="B34" t="str">
            <v>Elevation A</v>
          </cell>
          <cell r="C34" t="str">
            <v>WIP</v>
          </cell>
          <cell r="D34">
            <v>46320</v>
          </cell>
        </row>
        <row r="35">
          <cell r="B35" t="str">
            <v>Elevation B</v>
          </cell>
          <cell r="C35">
            <v>46295</v>
          </cell>
          <cell r="D35">
            <v>46326</v>
          </cell>
        </row>
        <row r="36">
          <cell r="B36" t="str">
            <v>Elevation C</v>
          </cell>
          <cell r="C36">
            <v>46283</v>
          </cell>
          <cell r="D36">
            <v>46295</v>
          </cell>
        </row>
        <row r="37">
          <cell r="B37" t="str">
            <v>Elevation D</v>
          </cell>
          <cell r="C37" t="str">
            <v>WIP</v>
          </cell>
          <cell r="D37">
            <v>46305</v>
          </cell>
        </row>
        <row r="38">
          <cell r="B38" t="str">
            <v>External Stone Cladding</v>
          </cell>
        </row>
        <row r="39">
          <cell r="B39" t="str">
            <v>Elevation A</v>
          </cell>
        </row>
        <row r="40">
          <cell r="B40" t="str">
            <v>Elevation B</v>
          </cell>
        </row>
        <row r="41">
          <cell r="B41" t="str">
            <v>Elevation C</v>
          </cell>
        </row>
        <row r="42">
          <cell r="B42" t="str">
            <v>Elevation D</v>
          </cell>
        </row>
        <row r="43">
          <cell r="B43" t="str">
            <v>Structural Glazing</v>
          </cell>
        </row>
        <row r="44">
          <cell r="B44" t="str">
            <v>Elevation A</v>
          </cell>
        </row>
        <row r="45">
          <cell r="B45" t="str">
            <v>Elevation B</v>
          </cell>
        </row>
        <row r="46">
          <cell r="B46" t="str">
            <v>Elevation C</v>
          </cell>
        </row>
        <row r="47">
          <cell r="B47" t="str">
            <v>Elevation D</v>
          </cell>
        </row>
        <row r="48">
          <cell r="B48" t="str">
            <v>MEP</v>
          </cell>
        </row>
        <row r="49">
          <cell r="B49" t="str">
            <v>Frist Fix</v>
          </cell>
        </row>
        <row r="50">
          <cell r="B50" t="str">
            <v>Electrical</v>
          </cell>
        </row>
        <row r="51">
          <cell r="B51" t="str">
            <v>Wall Conduit &amp; GI Box Fixing</v>
          </cell>
          <cell r="C51" t="str">
            <v xml:space="preserve">Completed </v>
          </cell>
        </row>
        <row r="52">
          <cell r="B52" t="str">
            <v>Cable Tray Installation</v>
          </cell>
          <cell r="C52" t="str">
            <v xml:space="preserve">Completed </v>
          </cell>
        </row>
        <row r="53">
          <cell r="B53" t="str">
            <v>DB Installation</v>
          </cell>
          <cell r="C53" t="str">
            <v xml:space="preserve">Completed </v>
          </cell>
        </row>
        <row r="54">
          <cell r="B54" t="str">
            <v>PHE</v>
          </cell>
        </row>
        <row r="55">
          <cell r="B55" t="str">
            <v>CI Pipiing</v>
          </cell>
          <cell r="C55" t="str">
            <v>WIP</v>
          </cell>
          <cell r="D55">
            <v>46366</v>
          </cell>
        </row>
        <row r="56">
          <cell r="B56" t="str">
            <v>CPVC Piping</v>
          </cell>
          <cell r="C56" t="str">
            <v>WIP</v>
          </cell>
          <cell r="D56">
            <v>46366</v>
          </cell>
        </row>
        <row r="57">
          <cell r="B57" t="str">
            <v>GI Piping</v>
          </cell>
          <cell r="C57" t="str">
            <v>WIP</v>
          </cell>
          <cell r="D57">
            <v>46366</v>
          </cell>
        </row>
        <row r="58">
          <cell r="B58" t="str">
            <v>HVAC</v>
          </cell>
        </row>
        <row r="59">
          <cell r="B59" t="str">
            <v>Ducting &amp; Insulation</v>
          </cell>
          <cell r="C59" t="str">
            <v>WIP</v>
          </cell>
          <cell r="D59">
            <v>46326</v>
          </cell>
        </row>
        <row r="60">
          <cell r="B60" t="str">
            <v>Piping installation</v>
          </cell>
          <cell r="C60" t="str">
            <v>WIP</v>
          </cell>
          <cell r="D60">
            <v>46326</v>
          </cell>
        </row>
        <row r="61">
          <cell r="B61" t="str">
            <v>AHU Installation</v>
          </cell>
          <cell r="C61" t="str">
            <v>WIP</v>
          </cell>
          <cell r="D61">
            <v>46326</v>
          </cell>
        </row>
        <row r="62">
          <cell r="B62" t="str">
            <v>Firefighting</v>
          </cell>
        </row>
        <row r="63">
          <cell r="B63" t="str">
            <v>Piping installation</v>
          </cell>
          <cell r="C63" t="str">
            <v>WIP</v>
          </cell>
          <cell r="D63">
            <v>46358</v>
          </cell>
        </row>
        <row r="64">
          <cell r="B64" t="str">
            <v>ELV</v>
          </cell>
        </row>
        <row r="65">
          <cell r="B65" t="str">
            <v>PVC conduiting &amp; GI box fixing</v>
          </cell>
          <cell r="C65" t="str">
            <v xml:space="preserve">Completed </v>
          </cell>
        </row>
        <row r="66">
          <cell r="B66" t="str">
            <v>Raceway Installation</v>
          </cell>
          <cell r="C66" t="str">
            <v xml:space="preserve">Completed </v>
          </cell>
        </row>
        <row r="67">
          <cell r="B67" t="str">
            <v>MGPS</v>
          </cell>
        </row>
        <row r="68">
          <cell r="B68" t="str">
            <v>Copper Pipning</v>
          </cell>
        </row>
        <row r="69">
          <cell r="B69" t="str">
            <v>PTTS</v>
          </cell>
          <cell r="C69" t="str">
            <v>WIP</v>
          </cell>
          <cell r="D69">
            <v>46366</v>
          </cell>
        </row>
        <row r="70">
          <cell r="B70" t="str">
            <v>Pipe Installation</v>
          </cell>
          <cell r="C70" t="str">
            <v>WIP</v>
          </cell>
          <cell r="D70">
            <v>46366</v>
          </cell>
        </row>
        <row r="71">
          <cell r="B71" t="str">
            <v>Second Fix</v>
          </cell>
        </row>
        <row r="72">
          <cell r="B72" t="str">
            <v>Electrical</v>
          </cell>
        </row>
        <row r="73">
          <cell r="B73" t="str">
            <v>Wiring</v>
          </cell>
          <cell r="C73" t="str">
            <v>WIP</v>
          </cell>
          <cell r="D73">
            <v>46386</v>
          </cell>
        </row>
        <row r="74">
          <cell r="B74" t="str">
            <v>Cable Laying &amp; Panel Installation</v>
          </cell>
          <cell r="C74" t="str">
            <v>WIP</v>
          </cell>
          <cell r="D74">
            <v>46386</v>
          </cell>
        </row>
        <row r="75">
          <cell r="B75" t="str">
            <v>UPS Installation</v>
          </cell>
          <cell r="C75" t="str">
            <v>WIP</v>
          </cell>
          <cell r="D75">
            <v>46386</v>
          </cell>
        </row>
        <row r="76">
          <cell r="B76" t="str">
            <v>DB Dresssing</v>
          </cell>
          <cell r="C76" t="str">
            <v>WIP</v>
          </cell>
          <cell r="D76">
            <v>46386</v>
          </cell>
        </row>
        <row r="77">
          <cell r="B77" t="str">
            <v>PHE</v>
          </cell>
        </row>
        <row r="78">
          <cell r="B78" t="str">
            <v>Cister&amp; Sensor Fixing</v>
          </cell>
          <cell r="C78" t="str">
            <v>WIP</v>
          </cell>
          <cell r="D78">
            <v>46305</v>
          </cell>
        </row>
        <row r="79">
          <cell r="B79" t="str">
            <v>HVAC</v>
          </cell>
        </row>
        <row r="80">
          <cell r="B80" t="str">
            <v>Duct testinfg &amp; dropper for diffusere</v>
          </cell>
          <cell r="C80" t="str">
            <v>WIP</v>
          </cell>
          <cell r="D80">
            <v>46386</v>
          </cell>
        </row>
        <row r="81">
          <cell r="B81" t="str">
            <v>Pipe Testing</v>
          </cell>
          <cell r="C81" t="str">
            <v>WIP</v>
          </cell>
          <cell r="D81">
            <v>46386</v>
          </cell>
        </row>
        <row r="82">
          <cell r="B82" t="str">
            <v>AHU Connection</v>
          </cell>
          <cell r="C82" t="str">
            <v>WIP</v>
          </cell>
          <cell r="D82">
            <v>46386</v>
          </cell>
        </row>
        <row r="83">
          <cell r="B83" t="str">
            <v>Firefighting</v>
          </cell>
        </row>
        <row r="84">
          <cell r="B84" t="str">
            <v>Sprinkler Flexible connection &amp; testing</v>
          </cell>
          <cell r="C84" t="str">
            <v>WIP</v>
          </cell>
          <cell r="D84">
            <v>46305</v>
          </cell>
        </row>
        <row r="85">
          <cell r="B85" t="str">
            <v>Wet Riser &amp; FHC installation</v>
          </cell>
          <cell r="C85" t="str">
            <v>WIP</v>
          </cell>
          <cell r="D85">
            <v>46305</v>
          </cell>
        </row>
        <row r="86">
          <cell r="B86" t="str">
            <v>ELV</v>
          </cell>
        </row>
        <row r="87">
          <cell r="B87" t="str">
            <v>CAT 6 cabling</v>
          </cell>
          <cell r="C87" t="str">
            <v>WIP</v>
          </cell>
          <cell r="D87">
            <v>46386</v>
          </cell>
        </row>
        <row r="88">
          <cell r="B88" t="str">
            <v>PA &amp; FAS cabling</v>
          </cell>
          <cell r="C88" t="str">
            <v>WIP</v>
          </cell>
          <cell r="D88">
            <v>46386</v>
          </cell>
        </row>
        <row r="89">
          <cell r="B89" t="str">
            <v>Fire Panel Installation</v>
          </cell>
          <cell r="C89" t="str">
            <v>WIP</v>
          </cell>
          <cell r="D89">
            <v>46386</v>
          </cell>
        </row>
        <row r="90">
          <cell r="B90" t="str">
            <v>Network Switch Installation &amp; connection</v>
          </cell>
          <cell r="C90" t="str">
            <v>WIP</v>
          </cell>
          <cell r="D90">
            <v>46386</v>
          </cell>
        </row>
        <row r="91">
          <cell r="B91" t="str">
            <v>MGPS</v>
          </cell>
        </row>
        <row r="92">
          <cell r="B92" t="str">
            <v>Copper Pipe testing</v>
          </cell>
          <cell r="C92" t="str">
            <v>WIP</v>
          </cell>
          <cell r="D92">
            <v>46386</v>
          </cell>
        </row>
        <row r="93">
          <cell r="B93" t="str">
            <v>PTTS</v>
          </cell>
        </row>
        <row r="94">
          <cell r="B94" t="str">
            <v>Pipe accessories fixing &amp; testing</v>
          </cell>
          <cell r="C94" t="str">
            <v>WIP</v>
          </cell>
          <cell r="D94">
            <v>46386</v>
          </cell>
        </row>
        <row r="95">
          <cell r="B95" t="str">
            <v>Final Fixture</v>
          </cell>
        </row>
        <row r="96">
          <cell r="B96" t="str">
            <v>Electrical</v>
          </cell>
        </row>
        <row r="97">
          <cell r="B97" t="str">
            <v>Switch Socket &amp; light fixture  Installation</v>
          </cell>
          <cell r="C97" t="str">
            <v>WIP</v>
          </cell>
          <cell r="D97">
            <v>46386</v>
          </cell>
        </row>
        <row r="98">
          <cell r="B98" t="str">
            <v>Cable termination &amp; panel testing</v>
          </cell>
          <cell r="C98" t="str">
            <v>WIP</v>
          </cell>
          <cell r="D98">
            <v>46386</v>
          </cell>
        </row>
        <row r="99">
          <cell r="B99" t="str">
            <v>UPS testing &amp; commissioning</v>
          </cell>
          <cell r="C99" t="str">
            <v>WIP</v>
          </cell>
          <cell r="D99">
            <v>46386</v>
          </cell>
        </row>
        <row r="100">
          <cell r="B100" t="str">
            <v>DB testing</v>
          </cell>
          <cell r="C100" t="str">
            <v>WIP</v>
          </cell>
          <cell r="D100">
            <v>46386</v>
          </cell>
        </row>
        <row r="101">
          <cell r="B101" t="str">
            <v>PHE</v>
          </cell>
        </row>
        <row r="102">
          <cell r="B102" t="str">
            <v>Fixtures Installation</v>
          </cell>
          <cell r="C102" t="str">
            <v>WIP</v>
          </cell>
          <cell r="D102">
            <v>46386</v>
          </cell>
        </row>
        <row r="103">
          <cell r="B103" t="str">
            <v>HVAC</v>
          </cell>
        </row>
        <row r="104">
          <cell r="B104" t="str">
            <v>Diffuser Installation</v>
          </cell>
          <cell r="C104" t="str">
            <v>WIP</v>
          </cell>
          <cell r="D104">
            <v>46386</v>
          </cell>
        </row>
        <row r="105">
          <cell r="B105" t="str">
            <v>AHU Testing</v>
          </cell>
          <cell r="C105" t="str">
            <v>WIP</v>
          </cell>
          <cell r="D105">
            <v>46386</v>
          </cell>
        </row>
        <row r="106">
          <cell r="B106" t="str">
            <v>Firefighting</v>
          </cell>
        </row>
        <row r="107">
          <cell r="B107" t="str">
            <v>Sprinkler Fixing</v>
          </cell>
          <cell r="C107" t="str">
            <v>WIP</v>
          </cell>
          <cell r="D107">
            <v>46386</v>
          </cell>
        </row>
        <row r="108">
          <cell r="B108" t="str">
            <v>ELV</v>
          </cell>
        </row>
        <row r="109">
          <cell r="B109" t="str">
            <v xml:space="preserve"> Fire Alam  &amp; PA Device Fixing</v>
          </cell>
          <cell r="C109" t="str">
            <v>WIP</v>
          </cell>
          <cell r="D109">
            <v>46386</v>
          </cell>
        </row>
        <row r="110">
          <cell r="B110" t="str">
            <v xml:space="preserve"> Telephone &amp; Data Socket Fixing</v>
          </cell>
          <cell r="C110" t="str">
            <v>WIP</v>
          </cell>
          <cell r="D110">
            <v>46386</v>
          </cell>
        </row>
        <row r="111">
          <cell r="B111" t="str">
            <v>Fire Panel testing &amp; device addressing</v>
          </cell>
          <cell r="C111" t="str">
            <v>WIP</v>
          </cell>
          <cell r="D111">
            <v>46386</v>
          </cell>
        </row>
        <row r="112">
          <cell r="B112" t="str">
            <v>Network Switch testing</v>
          </cell>
          <cell r="C112" t="str">
            <v>WIP</v>
          </cell>
          <cell r="D112">
            <v>46386</v>
          </cell>
        </row>
        <row r="113">
          <cell r="B113" t="str">
            <v>QMS , HMIS , Biometric , etc.</v>
          </cell>
          <cell r="C113" t="str">
            <v>WIP</v>
          </cell>
          <cell r="D113">
            <v>46386</v>
          </cell>
        </row>
        <row r="114">
          <cell r="B114" t="str">
            <v>MGPS</v>
          </cell>
        </row>
        <row r="115">
          <cell r="B115" t="str">
            <v>Outlet Installation</v>
          </cell>
        </row>
        <row r="116">
          <cell r="B116" t="str">
            <v>PTTS</v>
          </cell>
        </row>
        <row r="117">
          <cell r="B117" t="str">
            <v>PTTS station installation</v>
          </cell>
          <cell r="C117" t="str">
            <v>WIP</v>
          </cell>
          <cell r="D117">
            <v>46386</v>
          </cell>
        </row>
        <row r="118">
          <cell r="B118" t="str">
            <v>Terrace</v>
          </cell>
        </row>
        <row r="119">
          <cell r="B119" t="str">
            <v xml:space="preserve"> PHE Piping installation</v>
          </cell>
          <cell r="C119" t="str">
            <v>WIP</v>
          </cell>
          <cell r="D119">
            <v>46386</v>
          </cell>
        </row>
        <row r="120">
          <cell r="B120" t="str">
            <v>AHU Installation</v>
          </cell>
          <cell r="C120" t="str">
            <v>WIP</v>
          </cell>
          <cell r="D120">
            <v>46386</v>
          </cell>
        </row>
        <row r="121">
          <cell r="B121" t="str">
            <v>Fan Installation</v>
          </cell>
          <cell r="C121" t="str">
            <v>WIP</v>
          </cell>
          <cell r="D121">
            <v>46386</v>
          </cell>
        </row>
        <row r="122">
          <cell r="B122" t="str">
            <v>Cable Tray, Raceway Installation &amp; cable laying</v>
          </cell>
          <cell r="C122" t="str">
            <v>WIP</v>
          </cell>
          <cell r="D122">
            <v>46386</v>
          </cell>
        </row>
        <row r="123">
          <cell r="B123" t="str">
            <v>Solar Panel Installation</v>
          </cell>
          <cell r="C123" t="str">
            <v>WIP</v>
          </cell>
          <cell r="D123">
            <v>46386</v>
          </cell>
        </row>
        <row r="124">
          <cell r="B124" t="str">
            <v>DDC Panel Installation</v>
          </cell>
          <cell r="C124" t="str">
            <v>WIP</v>
          </cell>
          <cell r="D124">
            <v>46386</v>
          </cell>
        </row>
        <row r="125">
          <cell r="B125" t="str">
            <v>Booster Panel Installation</v>
          </cell>
          <cell r="C125" t="str">
            <v>WIP</v>
          </cell>
          <cell r="D125">
            <v>46386</v>
          </cell>
        </row>
        <row r="126">
          <cell r="B126" t="str">
            <v>Shaft</v>
          </cell>
        </row>
        <row r="127">
          <cell r="B127" t="str">
            <v>PHE Piping</v>
          </cell>
          <cell r="C127" t="str">
            <v>WIP</v>
          </cell>
          <cell r="D127">
            <v>46386</v>
          </cell>
        </row>
        <row r="128">
          <cell r="B128" t="str">
            <v>HVAC Ducting</v>
          </cell>
          <cell r="C128" t="str">
            <v>WIP</v>
          </cell>
          <cell r="D128">
            <v>46386</v>
          </cell>
        </row>
        <row r="129">
          <cell r="B129" t="str">
            <v>Rising Main Installation</v>
          </cell>
          <cell r="C129" t="str">
            <v>WIP</v>
          </cell>
          <cell r="D129">
            <v>46386</v>
          </cell>
        </row>
        <row r="130">
          <cell r="B130" t="str">
            <v>Cable Tray &amp; Raceway installation</v>
          </cell>
          <cell r="C130" t="str">
            <v>WIP</v>
          </cell>
          <cell r="D130">
            <v>46386</v>
          </cell>
        </row>
        <row r="131">
          <cell r="B131" t="str">
            <v>Lift Installation</v>
          </cell>
          <cell r="C131" t="str">
            <v>WIP</v>
          </cell>
          <cell r="D131">
            <v>46386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4" dT="2026-06-04T14:33:53.83" personId="{00000000-0000-0000-0000-000000000000}" id="{2BF91CA7-2FB6-40CC-93E6-F1D9F8F412D9}">
    <text>Terrace 63 cum</text>
  </threadedComment>
  <threadedComment ref="F41" dT="2026-06-04T14:33:53.83" personId="{00000000-0000-0000-0000-000000000000}" id="{3D9C1ADA-44A0-4F37-B895-7CDDA8C8E7FF}">
    <text>Terrace 63 cum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CBC13-6D49-4887-9F25-DD3B05C7D11B}">
  <sheetPr>
    <tabColor theme="7"/>
    <pageSetUpPr fitToPage="1"/>
  </sheetPr>
  <dimension ref="A1:T69"/>
  <sheetViews>
    <sheetView showGridLines="0" zoomScale="89" zoomScaleNormal="100" zoomScaleSheetLayoutView="80" workbookViewId="0">
      <pane ySplit="3" topLeftCell="A5" activePane="bottomLeft" state="frozen"/>
      <selection pane="bottomLeft" activeCell="F1" sqref="F1"/>
    </sheetView>
  </sheetViews>
  <sheetFormatPr defaultColWidth="2.75" defaultRowHeight="30" customHeight="1" x14ac:dyDescent="0.4"/>
  <cols>
    <col min="1" max="1" width="27.33203125" style="2" customWidth="1"/>
    <col min="2" max="2" width="14.83203125" style="1" bestFit="1" customWidth="1"/>
    <col min="3" max="3" width="13.33203125" customWidth="1"/>
    <col min="4" max="5" width="15.58203125" style="3" customWidth="1"/>
    <col min="6" max="6" width="33.08203125" style="3" customWidth="1"/>
    <col min="7" max="8" width="9.5" style="1" customWidth="1"/>
    <col min="9" max="14" width="9.5" style="1" bestFit="1" customWidth="1"/>
  </cols>
  <sheetData>
    <row r="1" spans="1:20" ht="27" customHeight="1" x14ac:dyDescent="1.2">
      <c r="A1" s="196" t="s">
        <v>370</v>
      </c>
      <c r="B1" s="48"/>
      <c r="C1" s="49"/>
      <c r="D1" s="48"/>
      <c r="E1" s="195"/>
      <c r="F1" s="48"/>
      <c r="G1" s="44"/>
      <c r="H1" s="44"/>
      <c r="I1" s="44"/>
      <c r="J1" s="44"/>
      <c r="K1" s="45"/>
      <c r="L1" s="45"/>
      <c r="M1" s="45"/>
      <c r="N1" s="46"/>
      <c r="O1" s="21"/>
      <c r="P1" s="14"/>
      <c r="Q1" s="14"/>
      <c r="R1" s="14"/>
      <c r="S1" s="14"/>
      <c r="T1" s="14"/>
    </row>
    <row r="2" spans="1:20" s="11" customFormat="1" ht="16" x14ac:dyDescent="0.4">
      <c r="A2" s="247" t="s">
        <v>1</v>
      </c>
      <c r="B2" s="248" t="s">
        <v>304</v>
      </c>
      <c r="C2" s="248" t="s">
        <v>305</v>
      </c>
      <c r="D2" s="248" t="s">
        <v>366</v>
      </c>
      <c r="E2" s="248" t="s">
        <v>367</v>
      </c>
      <c r="F2" s="248" t="s">
        <v>306</v>
      </c>
      <c r="G2" s="20"/>
      <c r="H2" s="20"/>
      <c r="I2" s="20"/>
      <c r="J2" s="20"/>
      <c r="K2" s="20"/>
      <c r="L2" s="20"/>
      <c r="M2" s="20"/>
      <c r="N2" s="20"/>
    </row>
    <row r="3" spans="1:20" ht="30" customHeight="1" x14ac:dyDescent="0.35">
      <c r="A3" s="247"/>
      <c r="B3" s="252"/>
      <c r="C3" s="252"/>
      <c r="D3" s="248"/>
      <c r="E3" s="248"/>
      <c r="F3" s="248"/>
      <c r="G3" s="22">
        <v>46174</v>
      </c>
      <c r="H3" s="22">
        <f t="shared" ref="H3:M3" si="0">EDATE(G3,1)</f>
        <v>46204</v>
      </c>
      <c r="I3" s="22">
        <f t="shared" si="0"/>
        <v>46235</v>
      </c>
      <c r="J3" s="22">
        <f t="shared" si="0"/>
        <v>46266</v>
      </c>
      <c r="K3" s="22">
        <f t="shared" si="0"/>
        <v>46296</v>
      </c>
      <c r="L3" s="22">
        <f t="shared" si="0"/>
        <v>46327</v>
      </c>
      <c r="M3" s="22">
        <f t="shared" si="0"/>
        <v>46357</v>
      </c>
      <c r="N3" s="23"/>
    </row>
    <row r="4" spans="1:20" ht="36" customHeight="1" x14ac:dyDescent="0.35">
      <c r="A4" s="149" t="s">
        <v>6</v>
      </c>
      <c r="B4" s="151"/>
      <c r="C4" s="152"/>
      <c r="D4" s="150">
        <v>1</v>
      </c>
      <c r="E4" s="150">
        <f>D4</f>
        <v>1</v>
      </c>
      <c r="F4" s="130" t="s">
        <v>104</v>
      </c>
      <c r="G4" s="129"/>
      <c r="H4" s="129"/>
      <c r="I4" s="129"/>
    </row>
    <row r="5" spans="1:20" ht="30" customHeight="1" x14ac:dyDescent="0.35">
      <c r="A5" s="4" t="s">
        <v>7</v>
      </c>
      <c r="B5" s="5"/>
      <c r="C5" s="5"/>
      <c r="D5" s="6"/>
      <c r="E5" s="6"/>
      <c r="F5" s="6"/>
    </row>
    <row r="6" spans="1:20" ht="42" customHeight="1" x14ac:dyDescent="0.35">
      <c r="A6" s="131" t="s">
        <v>8</v>
      </c>
      <c r="B6" s="132">
        <v>45910</v>
      </c>
      <c r="C6" s="132">
        <v>46305</v>
      </c>
      <c r="D6" s="133">
        <v>0.95</v>
      </c>
      <c r="E6" s="133">
        <v>0.97</v>
      </c>
      <c r="F6" s="133"/>
    </row>
    <row r="7" spans="1:20" ht="30" customHeight="1" x14ac:dyDescent="0.35">
      <c r="A7" s="131" t="s">
        <v>278</v>
      </c>
      <c r="B7" s="132">
        <v>45991</v>
      </c>
      <c r="C7" s="132">
        <v>46320</v>
      </c>
      <c r="D7" s="133">
        <v>0.95</v>
      </c>
      <c r="E7" s="133">
        <v>0.96</v>
      </c>
      <c r="F7" s="133"/>
    </row>
    <row r="8" spans="1:20" ht="35.5" customHeight="1" x14ac:dyDescent="0.35">
      <c r="A8" s="131" t="s">
        <v>291</v>
      </c>
      <c r="B8" s="132">
        <v>46047</v>
      </c>
      <c r="C8" s="132">
        <v>46341</v>
      </c>
      <c r="D8" s="133">
        <v>0.55000000000000004</v>
      </c>
      <c r="E8" s="133">
        <v>0.59</v>
      </c>
      <c r="F8" s="134" t="s">
        <v>307</v>
      </c>
    </row>
    <row r="9" spans="1:20" ht="18.5" hidden="1" x14ac:dyDescent="0.35">
      <c r="A9" s="131" t="s">
        <v>10</v>
      </c>
      <c r="B9" s="132">
        <v>46102</v>
      </c>
      <c r="C9" s="132">
        <f>VLOOKUP(A9,[2]OPD!$B$1:$D$111,3,FALSE)</f>
        <v>46325</v>
      </c>
      <c r="D9" s="133">
        <v>0.45</v>
      </c>
      <c r="E9" s="133"/>
      <c r="F9" s="133"/>
      <c r="N9"/>
    </row>
    <row r="10" spans="1:20" ht="18.5" x14ac:dyDescent="0.35">
      <c r="A10" s="131" t="s">
        <v>75</v>
      </c>
      <c r="B10" s="132">
        <v>46009</v>
      </c>
      <c r="C10" s="132">
        <v>46351</v>
      </c>
      <c r="D10" s="133">
        <v>0.75</v>
      </c>
      <c r="E10" s="133">
        <v>0.78</v>
      </c>
      <c r="F10" s="133" t="s">
        <v>308</v>
      </c>
      <c r="N10"/>
    </row>
    <row r="11" spans="1:20" ht="18.5" x14ac:dyDescent="0.35">
      <c r="A11" s="131" t="s">
        <v>11</v>
      </c>
      <c r="B11" s="132">
        <f>MIN(B12:B15)</f>
        <v>46211</v>
      </c>
      <c r="C11" s="132">
        <v>46366</v>
      </c>
      <c r="D11" s="133">
        <f>AVERAGE(D12:D15)</f>
        <v>0.05</v>
      </c>
      <c r="E11" s="133">
        <v>0.08</v>
      </c>
      <c r="F11" s="134" t="s">
        <v>309</v>
      </c>
      <c r="O11" s="1"/>
      <c r="P11" s="1"/>
      <c r="Q11" s="1"/>
      <c r="R11" s="1"/>
    </row>
    <row r="12" spans="1:20" ht="30" hidden="1" customHeight="1" x14ac:dyDescent="0.35">
      <c r="A12" s="131" t="s">
        <v>76</v>
      </c>
      <c r="B12" s="132">
        <v>46211</v>
      </c>
      <c r="C12" s="132">
        <f>VLOOKUP(A12,[2]OPD!$B$1:$D$111,3,FALSE)</f>
        <v>46310</v>
      </c>
      <c r="D12" s="133">
        <v>0.2</v>
      </c>
      <c r="E12" s="133"/>
      <c r="F12" s="133"/>
      <c r="O12" s="1"/>
      <c r="P12" s="1"/>
      <c r="Q12" s="1"/>
      <c r="R12" s="1"/>
    </row>
    <row r="13" spans="1:20" ht="30" hidden="1" customHeight="1" x14ac:dyDescent="0.35">
      <c r="A13" s="131" t="s">
        <v>77</v>
      </c>
      <c r="B13" s="132">
        <f>B12+25</f>
        <v>46236</v>
      </c>
      <c r="C13" s="132">
        <f>VLOOKUP(A13,[2]OPD!$B$1:$D$111,3,FALSE)</f>
        <v>46323</v>
      </c>
      <c r="D13" s="133">
        <v>0</v>
      </c>
      <c r="E13" s="133"/>
      <c r="F13" s="133"/>
      <c r="O13" s="1"/>
      <c r="P13" s="1"/>
      <c r="Q13" s="1"/>
      <c r="R13" s="1"/>
    </row>
    <row r="14" spans="1:20" ht="30" hidden="1" customHeight="1" x14ac:dyDescent="0.35">
      <c r="A14" s="131" t="s">
        <v>78</v>
      </c>
      <c r="B14" s="132">
        <f t="shared" ref="B14:B15" si="1">B13+25</f>
        <v>46261</v>
      </c>
      <c r="C14" s="132">
        <f>VLOOKUP(A14,[2]OPD!$B$1:$D$111,3,FALSE)</f>
        <v>46346</v>
      </c>
      <c r="D14" s="133">
        <v>0</v>
      </c>
      <c r="E14" s="133"/>
      <c r="F14" s="133"/>
      <c r="O14" s="1"/>
      <c r="P14" s="1"/>
      <c r="Q14" s="1"/>
      <c r="R14" s="1"/>
    </row>
    <row r="15" spans="1:20" ht="30" hidden="1" customHeight="1" x14ac:dyDescent="0.35">
      <c r="A15" s="131" t="s">
        <v>79</v>
      </c>
      <c r="B15" s="132">
        <f t="shared" si="1"/>
        <v>46286</v>
      </c>
      <c r="C15" s="132">
        <f>VLOOKUP(A15,[2]OPD!$B$1:$D$111,3,FALSE)</f>
        <v>46371</v>
      </c>
      <c r="D15" s="133">
        <v>0</v>
      </c>
      <c r="E15" s="133"/>
      <c r="F15" s="133"/>
      <c r="O15" s="1"/>
      <c r="P15" s="1"/>
      <c r="Q15" s="1"/>
      <c r="R15" s="1"/>
    </row>
    <row r="16" spans="1:20" ht="30" customHeight="1" x14ac:dyDescent="0.35">
      <c r="A16" s="131" t="s">
        <v>12</v>
      </c>
      <c r="B16" s="141">
        <v>46295</v>
      </c>
      <c r="C16" s="132">
        <f>VLOOKUP(A16,[2]OPD!$B$1:$D$111,3,FALSE)</f>
        <v>46351</v>
      </c>
      <c r="D16" s="133">
        <v>0</v>
      </c>
      <c r="E16" s="133">
        <v>0.04</v>
      </c>
      <c r="F16" s="133" t="s">
        <v>308</v>
      </c>
      <c r="O16" s="1"/>
      <c r="P16" s="1"/>
      <c r="Q16" s="1"/>
      <c r="R16" s="1"/>
    </row>
    <row r="17" spans="1:6" ht="30" customHeight="1" x14ac:dyDescent="0.35">
      <c r="A17" s="131" t="s">
        <v>341</v>
      </c>
      <c r="B17" s="141">
        <v>46320</v>
      </c>
      <c r="C17" s="132">
        <v>46380</v>
      </c>
      <c r="D17" s="133">
        <v>0</v>
      </c>
      <c r="E17" s="133"/>
      <c r="F17" s="133" t="s">
        <v>342</v>
      </c>
    </row>
    <row r="18" spans="1:6" ht="30" customHeight="1" x14ac:dyDescent="0.35">
      <c r="A18" s="131" t="s">
        <v>13</v>
      </c>
      <c r="B18" s="132">
        <v>46341</v>
      </c>
      <c r="C18" s="132">
        <v>46380</v>
      </c>
      <c r="D18" s="133">
        <v>0</v>
      </c>
      <c r="E18" s="133"/>
      <c r="F18" s="133" t="s">
        <v>310</v>
      </c>
    </row>
    <row r="19" spans="1:6" ht="30" customHeight="1" x14ac:dyDescent="0.35">
      <c r="A19" s="135" t="s">
        <v>295</v>
      </c>
      <c r="B19" s="136"/>
      <c r="C19" s="136"/>
      <c r="D19" s="137"/>
      <c r="E19" s="137"/>
      <c r="F19" s="137"/>
    </row>
    <row r="20" spans="1:6" ht="30" customHeight="1" x14ac:dyDescent="0.35">
      <c r="A20" s="131" t="s">
        <v>20</v>
      </c>
      <c r="B20" s="132">
        <v>46116</v>
      </c>
      <c r="C20" s="132">
        <v>46341</v>
      </c>
      <c r="D20" s="133">
        <v>0.5</v>
      </c>
      <c r="E20" s="133">
        <v>0.54</v>
      </c>
      <c r="F20" s="133" t="s">
        <v>314</v>
      </c>
    </row>
    <row r="21" spans="1:6" ht="30" customHeight="1" x14ac:dyDescent="0.35">
      <c r="A21" s="131" t="s">
        <v>21</v>
      </c>
      <c r="B21" s="132">
        <v>46191</v>
      </c>
      <c r="C21" s="132">
        <v>46351</v>
      </c>
      <c r="D21" s="133">
        <v>0.48</v>
      </c>
      <c r="E21" s="133">
        <v>0.53</v>
      </c>
      <c r="F21" s="133" t="s">
        <v>314</v>
      </c>
    </row>
    <row r="22" spans="1:6" ht="30" customHeight="1" x14ac:dyDescent="0.35">
      <c r="A22" s="131" t="s">
        <v>22</v>
      </c>
      <c r="B22" s="132">
        <v>46244</v>
      </c>
      <c r="C22" s="132">
        <v>46361</v>
      </c>
      <c r="D22" s="133">
        <v>0.3</v>
      </c>
      <c r="E22" s="133">
        <v>0.33</v>
      </c>
      <c r="F22" s="133" t="s">
        <v>316</v>
      </c>
    </row>
    <row r="23" spans="1:6" ht="30" customHeight="1" x14ac:dyDescent="0.35">
      <c r="A23" s="131" t="s">
        <v>23</v>
      </c>
      <c r="B23" s="132">
        <v>46259</v>
      </c>
      <c r="C23" s="132">
        <v>46371</v>
      </c>
      <c r="D23" s="133">
        <v>0.2</v>
      </c>
      <c r="E23" s="133">
        <v>0.25</v>
      </c>
      <c r="F23" s="133" t="s">
        <v>315</v>
      </c>
    </row>
    <row r="24" spans="1:6" ht="30" hidden="1" customHeight="1" x14ac:dyDescent="0.35">
      <c r="A24" s="131" t="s">
        <v>20</v>
      </c>
      <c r="B24" s="138" t="e">
        <f>#REF!+5</f>
        <v>#REF!</v>
      </c>
      <c r="C24" s="138">
        <v>46315</v>
      </c>
      <c r="D24" s="133">
        <v>0</v>
      </c>
      <c r="E24" s="133"/>
      <c r="F24" s="133"/>
    </row>
    <row r="25" spans="1:6" ht="30" hidden="1" customHeight="1" x14ac:dyDescent="0.35">
      <c r="A25" s="131" t="s">
        <v>21</v>
      </c>
      <c r="B25" s="138" t="e">
        <f>#REF!+5</f>
        <v>#REF!</v>
      </c>
      <c r="C25" s="138">
        <v>46331</v>
      </c>
      <c r="D25" s="133">
        <v>0</v>
      </c>
      <c r="E25" s="133"/>
      <c r="F25" s="133"/>
    </row>
    <row r="26" spans="1:6" ht="30" hidden="1" customHeight="1" x14ac:dyDescent="0.35">
      <c r="A26" s="131" t="s">
        <v>22</v>
      </c>
      <c r="B26" s="138" t="e">
        <f>#REF!+5</f>
        <v>#REF!</v>
      </c>
      <c r="C26" s="138">
        <v>46348</v>
      </c>
      <c r="D26" s="133">
        <v>0</v>
      </c>
      <c r="E26" s="133"/>
      <c r="F26" s="133"/>
    </row>
    <row r="27" spans="1:6" ht="30" hidden="1" customHeight="1" x14ac:dyDescent="0.35">
      <c r="A27" s="131" t="s">
        <v>23</v>
      </c>
      <c r="B27" s="138" t="e">
        <f>#REF!+5</f>
        <v>#REF!</v>
      </c>
      <c r="C27" s="138">
        <v>46361</v>
      </c>
      <c r="D27" s="133">
        <v>0</v>
      </c>
      <c r="E27" s="133"/>
      <c r="F27" s="133"/>
    </row>
    <row r="28" spans="1:6" ht="30" customHeight="1" x14ac:dyDescent="0.35">
      <c r="A28" s="135" t="s">
        <v>317</v>
      </c>
      <c r="B28" s="136"/>
      <c r="C28" s="136"/>
      <c r="D28" s="137"/>
      <c r="E28" s="137"/>
      <c r="F28" s="137"/>
    </row>
    <row r="29" spans="1:6" ht="30" customHeight="1" x14ac:dyDescent="0.35">
      <c r="A29" s="135" t="s">
        <v>318</v>
      </c>
      <c r="B29" s="136"/>
      <c r="C29" s="136"/>
      <c r="D29" s="137"/>
      <c r="E29" s="137"/>
      <c r="F29" s="137"/>
    </row>
    <row r="30" spans="1:6" ht="30" customHeight="1" x14ac:dyDescent="0.35">
      <c r="A30" s="131" t="s">
        <v>34</v>
      </c>
      <c r="B30" s="132">
        <v>46093</v>
      </c>
      <c r="C30" s="132">
        <v>46315</v>
      </c>
      <c r="D30" s="133">
        <v>0.8</v>
      </c>
      <c r="E30" s="133">
        <v>0.83</v>
      </c>
      <c r="F30" s="133"/>
    </row>
    <row r="31" spans="1:6" ht="30" customHeight="1" x14ac:dyDescent="0.35">
      <c r="A31" s="131" t="s">
        <v>349</v>
      </c>
      <c r="B31" s="132">
        <v>46050</v>
      </c>
      <c r="C31" s="132">
        <v>46326</v>
      </c>
      <c r="D31" s="133">
        <v>0.85</v>
      </c>
      <c r="E31" s="133">
        <v>0.88</v>
      </c>
      <c r="F31" s="133"/>
    </row>
    <row r="32" spans="1:6" s="1" customFormat="1" ht="30" customHeight="1" x14ac:dyDescent="0.35">
      <c r="A32" s="131" t="s">
        <v>39</v>
      </c>
      <c r="B32" s="132">
        <v>46002</v>
      </c>
      <c r="C32" s="132">
        <v>46322</v>
      </c>
      <c r="D32" s="133">
        <v>0.87</v>
      </c>
      <c r="E32" s="133">
        <v>0.89</v>
      </c>
      <c r="F32" s="133"/>
    </row>
    <row r="33" spans="1:6" s="1" customFormat="1" ht="30" customHeight="1" x14ac:dyDescent="0.35">
      <c r="A33" s="131" t="s">
        <v>296</v>
      </c>
      <c r="B33" s="132">
        <v>46032</v>
      </c>
      <c r="C33" s="132">
        <v>46320</v>
      </c>
      <c r="D33" s="133">
        <v>0.86</v>
      </c>
      <c r="E33" s="133">
        <v>0.91</v>
      </c>
      <c r="F33" s="133"/>
    </row>
    <row r="34" spans="1:6" s="1" customFormat="1" ht="30" customHeight="1" x14ac:dyDescent="0.35">
      <c r="A34" s="131" t="s">
        <v>319</v>
      </c>
      <c r="B34" s="132">
        <v>46275</v>
      </c>
      <c r="C34" s="132">
        <v>46351</v>
      </c>
      <c r="D34" s="133">
        <v>0.21</v>
      </c>
      <c r="E34" s="133">
        <v>0.23</v>
      </c>
      <c r="F34" s="133" t="s">
        <v>308</v>
      </c>
    </row>
    <row r="35" spans="1:6" s="1" customFormat="1" ht="30" customHeight="1" x14ac:dyDescent="0.35">
      <c r="A35" s="131" t="s">
        <v>297</v>
      </c>
      <c r="B35" s="132">
        <v>46275</v>
      </c>
      <c r="C35" s="132">
        <v>46341</v>
      </c>
      <c r="D35" s="133">
        <v>0.16</v>
      </c>
      <c r="E35" s="133">
        <v>0.18</v>
      </c>
      <c r="F35" s="133" t="s">
        <v>308</v>
      </c>
    </row>
    <row r="36" spans="1:6" s="1" customFormat="1" ht="30" customHeight="1" x14ac:dyDescent="0.35">
      <c r="A36" s="131" t="s">
        <v>303</v>
      </c>
      <c r="B36" s="132">
        <v>46295</v>
      </c>
      <c r="C36" s="132">
        <v>46323</v>
      </c>
      <c r="D36" s="133">
        <v>0</v>
      </c>
      <c r="E36" s="133"/>
      <c r="F36" s="133" t="s">
        <v>308</v>
      </c>
    </row>
    <row r="37" spans="1:6" s="1" customFormat="1" ht="30" customHeight="1" x14ac:dyDescent="0.35">
      <c r="A37" s="135" t="s">
        <v>85</v>
      </c>
      <c r="B37" s="136"/>
      <c r="C37" s="136"/>
      <c r="D37" s="137"/>
      <c r="E37" s="137"/>
      <c r="F37" s="137"/>
    </row>
    <row r="38" spans="1:6" s="1" customFormat="1" ht="30" customHeight="1" x14ac:dyDescent="0.35">
      <c r="A38" s="131" t="s">
        <v>46</v>
      </c>
      <c r="B38" s="132">
        <v>46252</v>
      </c>
      <c r="C38" s="132">
        <v>46346</v>
      </c>
      <c r="D38" s="133">
        <v>0.38</v>
      </c>
      <c r="E38" s="133">
        <v>0.45</v>
      </c>
      <c r="F38" s="133"/>
    </row>
    <row r="39" spans="1:6" s="1" customFormat="1" ht="30" customHeight="1" x14ac:dyDescent="0.35">
      <c r="A39" s="131" t="s">
        <v>320</v>
      </c>
      <c r="B39" s="132">
        <v>46213</v>
      </c>
      <c r="C39" s="132">
        <v>46354</v>
      </c>
      <c r="D39" s="133">
        <v>0.45</v>
      </c>
      <c r="E39" s="133">
        <v>0.51</v>
      </c>
      <c r="F39" s="133"/>
    </row>
    <row r="40" spans="1:6" s="1" customFormat="1" ht="30" customHeight="1" x14ac:dyDescent="0.35">
      <c r="A40" s="131" t="s">
        <v>48</v>
      </c>
      <c r="B40" s="132">
        <v>46300</v>
      </c>
      <c r="C40" s="132">
        <v>46326</v>
      </c>
      <c r="D40" s="133">
        <v>0</v>
      </c>
      <c r="E40" s="133"/>
      <c r="F40" s="133" t="s">
        <v>321</v>
      </c>
    </row>
    <row r="41" spans="1:6" s="1" customFormat="1" ht="30" customHeight="1" x14ac:dyDescent="0.35">
      <c r="A41" s="131" t="s">
        <v>323</v>
      </c>
      <c r="B41" s="132">
        <v>46313</v>
      </c>
      <c r="C41" s="132">
        <v>46366</v>
      </c>
      <c r="D41" s="133">
        <v>0</v>
      </c>
      <c r="E41" s="133"/>
      <c r="F41" s="133" t="s">
        <v>324</v>
      </c>
    </row>
    <row r="42" spans="1:6" s="1" customFormat="1" ht="30" customHeight="1" x14ac:dyDescent="0.35">
      <c r="A42" s="131" t="s">
        <v>298</v>
      </c>
      <c r="B42" s="132">
        <v>46244</v>
      </c>
      <c r="C42" s="132">
        <v>46336</v>
      </c>
      <c r="D42" s="133">
        <v>0.8</v>
      </c>
      <c r="E42" s="133">
        <v>0.84</v>
      </c>
      <c r="F42" s="133"/>
    </row>
    <row r="43" spans="1:6" s="1" customFormat="1" ht="30" customHeight="1" x14ac:dyDescent="0.35">
      <c r="A43" s="131" t="s">
        <v>53</v>
      </c>
      <c r="B43" s="132">
        <v>46253</v>
      </c>
      <c r="C43" s="132">
        <v>46354</v>
      </c>
      <c r="D43" s="133">
        <v>0.42</v>
      </c>
      <c r="E43" s="133">
        <v>0.48</v>
      </c>
      <c r="F43" s="133"/>
    </row>
    <row r="44" spans="1:6" s="1" customFormat="1" ht="30" hidden="1" customHeight="1" x14ac:dyDescent="0.35">
      <c r="A44" s="131" t="s">
        <v>55</v>
      </c>
      <c r="B44" s="132">
        <v>46244</v>
      </c>
      <c r="C44" s="132">
        <f>VLOOKUP(A44,[2]OPD!$B$54:$D$76,3,FALSE)</f>
        <v>46319</v>
      </c>
      <c r="D44" s="133">
        <v>0.75</v>
      </c>
      <c r="E44" s="133"/>
      <c r="F44" s="133"/>
    </row>
    <row r="45" spans="1:6" s="1" customFormat="1" ht="30" customHeight="1" x14ac:dyDescent="0.35">
      <c r="A45" s="131" t="s">
        <v>56</v>
      </c>
      <c r="B45" s="132">
        <v>46244</v>
      </c>
      <c r="C45" s="132">
        <f>VLOOKUP(A45,[2]OPD!$B$54:$D$76,3,FALSE)</f>
        <v>46341</v>
      </c>
      <c r="D45" s="133">
        <v>0.38</v>
      </c>
      <c r="E45" s="133">
        <v>0.44</v>
      </c>
      <c r="F45" s="133"/>
    </row>
    <row r="46" spans="1:6" s="1" customFormat="1" ht="30" customHeight="1" x14ac:dyDescent="0.35">
      <c r="A46" s="131" t="s">
        <v>57</v>
      </c>
      <c r="B46" s="132">
        <v>46221</v>
      </c>
      <c r="C46" s="132">
        <v>46341</v>
      </c>
      <c r="D46" s="133">
        <v>0.52</v>
      </c>
      <c r="E46" s="133">
        <v>0.56999999999999995</v>
      </c>
      <c r="F46" s="133"/>
    </row>
    <row r="47" spans="1:6" s="1" customFormat="1" ht="30" customHeight="1" x14ac:dyDescent="0.35">
      <c r="A47" s="131" t="s">
        <v>58</v>
      </c>
      <c r="B47" s="132">
        <v>46294</v>
      </c>
      <c r="C47" s="132">
        <v>46310</v>
      </c>
      <c r="D47" s="133">
        <v>0</v>
      </c>
      <c r="E47" s="133"/>
      <c r="F47" s="133" t="s">
        <v>308</v>
      </c>
    </row>
    <row r="48" spans="1:6" s="1" customFormat="1" ht="18.5" x14ac:dyDescent="0.35">
      <c r="A48" s="131" t="s">
        <v>325</v>
      </c>
      <c r="B48" s="132">
        <v>46294</v>
      </c>
      <c r="C48" s="132">
        <v>46346</v>
      </c>
      <c r="D48" s="133">
        <v>0</v>
      </c>
      <c r="E48" s="133"/>
      <c r="F48" s="133" t="s">
        <v>308</v>
      </c>
    </row>
    <row r="49" spans="1:6" s="1" customFormat="1" ht="59.15" customHeight="1" x14ac:dyDescent="0.35">
      <c r="A49" s="144" t="s">
        <v>327</v>
      </c>
      <c r="B49" s="145">
        <v>46346</v>
      </c>
      <c r="C49" s="145">
        <v>46376</v>
      </c>
      <c r="D49" s="143">
        <v>0</v>
      </c>
      <c r="E49" s="143"/>
      <c r="F49" s="146" t="s">
        <v>326</v>
      </c>
    </row>
    <row r="50" spans="1:6" s="1" customFormat="1" ht="30" customHeight="1" x14ac:dyDescent="0.35">
      <c r="A50" s="4" t="s">
        <v>90</v>
      </c>
      <c r="B50" s="5"/>
      <c r="C50" s="5"/>
      <c r="D50" s="6"/>
      <c r="E50" s="6"/>
      <c r="F50" s="6"/>
    </row>
    <row r="51" spans="1:6" s="1" customFormat="1" ht="30" customHeight="1" x14ac:dyDescent="0.35">
      <c r="A51" s="131" t="s">
        <v>91</v>
      </c>
      <c r="B51" s="132">
        <v>46305</v>
      </c>
      <c r="C51" s="132">
        <v>46341</v>
      </c>
      <c r="D51" s="133">
        <v>0</v>
      </c>
      <c r="E51" s="133"/>
      <c r="F51" s="133" t="s">
        <v>308</v>
      </c>
    </row>
    <row r="52" spans="1:6" s="1" customFormat="1" ht="30" customHeight="1" x14ac:dyDescent="0.35">
      <c r="A52" s="131" t="s">
        <v>93</v>
      </c>
      <c r="B52" s="132">
        <v>46331</v>
      </c>
      <c r="C52" s="132">
        <v>46366</v>
      </c>
      <c r="D52" s="133">
        <v>0</v>
      </c>
      <c r="E52" s="133"/>
      <c r="F52" s="133" t="s">
        <v>316</v>
      </c>
    </row>
    <row r="53" spans="1:6" ht="30" customHeight="1" x14ac:dyDescent="0.35">
      <c r="A53" s="131" t="s">
        <v>311</v>
      </c>
      <c r="B53" s="132">
        <v>46256</v>
      </c>
      <c r="C53" s="132">
        <v>46351</v>
      </c>
      <c r="D53" s="133">
        <v>0.35</v>
      </c>
      <c r="E53" s="133">
        <v>0.44</v>
      </c>
      <c r="F53" s="133" t="s">
        <v>312</v>
      </c>
    </row>
    <row r="54" spans="1:6" ht="30" customHeight="1" x14ac:dyDescent="0.35">
      <c r="A54" s="131" t="s">
        <v>293</v>
      </c>
      <c r="B54" s="132">
        <v>46239</v>
      </c>
      <c r="C54" s="132">
        <v>46361</v>
      </c>
      <c r="D54" s="133">
        <v>0.75</v>
      </c>
      <c r="E54" s="133">
        <v>0.78</v>
      </c>
      <c r="F54" s="133"/>
    </row>
    <row r="55" spans="1:6" ht="43" customHeight="1" x14ac:dyDescent="0.35">
      <c r="A55" s="131" t="s">
        <v>292</v>
      </c>
      <c r="B55" s="132">
        <v>46295</v>
      </c>
      <c r="C55" s="132">
        <v>46326</v>
      </c>
      <c r="D55" s="142">
        <v>0.6</v>
      </c>
      <c r="E55" s="142">
        <f>D55</f>
        <v>0.6</v>
      </c>
      <c r="F55" s="147" t="s">
        <v>313</v>
      </c>
    </row>
    <row r="56" spans="1:6" s="1" customFormat="1" ht="30" customHeight="1" x14ac:dyDescent="0.35">
      <c r="A56" s="4" t="s">
        <v>328</v>
      </c>
      <c r="B56" s="5"/>
      <c r="C56" s="5"/>
      <c r="D56" s="6"/>
      <c r="E56" s="6"/>
      <c r="F56" s="6"/>
    </row>
    <row r="57" spans="1:6" s="1" customFormat="1" ht="30" customHeight="1" x14ac:dyDescent="0.35">
      <c r="A57" s="148" t="s">
        <v>329</v>
      </c>
      <c r="B57" s="132">
        <v>46178</v>
      </c>
      <c r="C57" s="132">
        <v>46233</v>
      </c>
      <c r="D57" s="133">
        <v>1</v>
      </c>
      <c r="E57" s="133">
        <f>D57</f>
        <v>1</v>
      </c>
      <c r="F57" s="133"/>
    </row>
    <row r="58" spans="1:6" s="1" customFormat="1" ht="30" customHeight="1" x14ac:dyDescent="0.35">
      <c r="A58" s="148" t="s">
        <v>330</v>
      </c>
      <c r="B58" s="132">
        <v>46242</v>
      </c>
      <c r="C58" s="132">
        <v>46320</v>
      </c>
      <c r="D58" s="133">
        <v>0.65</v>
      </c>
      <c r="E58" s="133">
        <v>0.72</v>
      </c>
      <c r="F58" s="133"/>
    </row>
    <row r="59" spans="1:6" s="1" customFormat="1" ht="30" customHeight="1" x14ac:dyDescent="0.35">
      <c r="A59" s="148" t="s">
        <v>331</v>
      </c>
      <c r="B59" s="132">
        <v>46306</v>
      </c>
      <c r="C59" s="132">
        <v>46354</v>
      </c>
      <c r="D59" s="133">
        <v>0</v>
      </c>
      <c r="E59" s="133"/>
      <c r="F59" s="133" t="s">
        <v>308</v>
      </c>
    </row>
    <row r="60" spans="1:6" s="1" customFormat="1" ht="30" customHeight="1" x14ac:dyDescent="0.35">
      <c r="A60" s="148" t="s">
        <v>331</v>
      </c>
      <c r="B60" s="132">
        <v>46341</v>
      </c>
      <c r="C60" s="132">
        <v>46366</v>
      </c>
      <c r="D60" s="133">
        <v>0</v>
      </c>
      <c r="E60" s="133"/>
      <c r="F60" s="133" t="s">
        <v>308</v>
      </c>
    </row>
    <row r="61" spans="1:6" ht="30" customHeight="1" x14ac:dyDescent="0.35">
      <c r="A61" s="4" t="s">
        <v>343</v>
      </c>
      <c r="B61" s="5"/>
      <c r="C61" s="5"/>
      <c r="D61" s="6"/>
      <c r="E61" s="6"/>
      <c r="F61" s="6"/>
    </row>
    <row r="62" spans="1:6" s="1" customFormat="1" ht="30" customHeight="1" x14ac:dyDescent="0.35">
      <c r="A62" s="131" t="s">
        <v>332</v>
      </c>
      <c r="B62" s="132">
        <v>46294</v>
      </c>
      <c r="C62" s="132">
        <v>46315</v>
      </c>
      <c r="D62" s="133">
        <v>0</v>
      </c>
      <c r="E62" s="133"/>
      <c r="F62" s="133" t="s">
        <v>308</v>
      </c>
    </row>
    <row r="63" spans="1:6" s="1" customFormat="1" ht="30" customHeight="1" x14ac:dyDescent="0.35">
      <c r="A63" s="131" t="s">
        <v>302</v>
      </c>
      <c r="B63" s="132">
        <v>46326</v>
      </c>
      <c r="C63" s="132">
        <v>46346</v>
      </c>
      <c r="D63" s="133">
        <v>0</v>
      </c>
      <c r="E63" s="133"/>
      <c r="F63" s="133" t="s">
        <v>333</v>
      </c>
    </row>
    <row r="64" spans="1:6" s="1" customFormat="1" ht="30" customHeight="1" x14ac:dyDescent="0.35">
      <c r="A64" s="131" t="s">
        <v>334</v>
      </c>
      <c r="B64" s="132">
        <v>46323</v>
      </c>
      <c r="C64" s="132">
        <v>46351</v>
      </c>
      <c r="D64" s="133">
        <v>0</v>
      </c>
      <c r="E64" s="133"/>
      <c r="F64" s="133" t="s">
        <v>335</v>
      </c>
    </row>
    <row r="65" spans="1:6" s="1" customFormat="1" ht="30" customHeight="1" x14ac:dyDescent="0.35">
      <c r="A65" s="4" t="s">
        <v>336</v>
      </c>
      <c r="B65" s="5"/>
      <c r="C65" s="5"/>
      <c r="D65" s="6"/>
      <c r="E65" s="6"/>
      <c r="F65" s="6"/>
    </row>
    <row r="66" spans="1:6" s="1" customFormat="1" ht="30" customHeight="1" x14ac:dyDescent="0.35">
      <c r="A66" s="131" t="s">
        <v>337</v>
      </c>
      <c r="B66" s="132">
        <v>46357</v>
      </c>
      <c r="C66" s="132">
        <v>46380</v>
      </c>
      <c r="D66" s="133"/>
      <c r="E66" s="133"/>
      <c r="F66" s="133"/>
    </row>
    <row r="67" spans="1:6" s="1" customFormat="1" ht="30" customHeight="1" x14ac:dyDescent="0.35">
      <c r="A67" s="131" t="s">
        <v>339</v>
      </c>
      <c r="B67" s="132">
        <v>46351</v>
      </c>
      <c r="C67" s="132">
        <v>46376</v>
      </c>
      <c r="D67" s="133"/>
      <c r="E67" s="133"/>
      <c r="F67" s="133"/>
    </row>
    <row r="68" spans="1:6" s="1" customFormat="1" ht="30" customHeight="1" x14ac:dyDescent="0.35">
      <c r="A68" s="131" t="s">
        <v>338</v>
      </c>
      <c r="B68" s="132">
        <v>46361</v>
      </c>
      <c r="C68" s="132">
        <v>46380</v>
      </c>
      <c r="D68" s="133"/>
      <c r="E68" s="133"/>
      <c r="F68" s="133"/>
    </row>
    <row r="69" spans="1:6" s="1" customFormat="1" ht="30" customHeight="1" x14ac:dyDescent="0.35">
      <c r="A69" s="131" t="s">
        <v>340</v>
      </c>
      <c r="B69" s="132">
        <v>46346</v>
      </c>
      <c r="C69" s="132">
        <v>46376</v>
      </c>
      <c r="D69" s="133"/>
      <c r="E69" s="133"/>
      <c r="F69" s="133"/>
    </row>
  </sheetData>
  <mergeCells count="6">
    <mergeCell ref="A2:A3"/>
    <mergeCell ref="B2:B3"/>
    <mergeCell ref="C2:C3"/>
    <mergeCell ref="D2:D3"/>
    <mergeCell ref="F2:F3"/>
    <mergeCell ref="E2:E3"/>
  </mergeCells>
  <conditionalFormatting sqref="G62:M71">
    <cfRule type="expression" dxfId="1197" priority="1">
      <formula>AND($B62&lt;&gt;"",$C62&lt;&gt;"",$D62&gt;0,$B62&lt;=EOMONTH(G$3,0),($B62+(($C62-$B62)*$D62))&gt;=G$3)</formula>
    </cfRule>
    <cfRule type="expression" dxfId="1196" priority="5">
      <formula>AND($B62&lt;&gt;"",$C62&lt;&gt;"",$B62&lt;=EOMONTH(G$3,0),$C62&gt;=G$3)</formula>
    </cfRule>
  </conditionalFormatting>
  <conditionalFormatting sqref="G69:M69">
    <cfRule type="expression" dxfId="1195" priority="2">
      <formula>AND($B69&lt;&gt;"",$C69&lt;&gt;"",$B69&lt;=EOMONTH(G$3,0),$C69&gt;=G$3)</formula>
    </cfRule>
    <cfRule type="expression" dxfId="1194" priority="4">
      <formula>AND($B69&lt;&gt;"",$C69&lt;&gt;"",$D69&lt;&gt;"",$B69&lt;=EOMONTH(G$3,0),($B69+(($C69-$B69)*$D69))&gt;=G$3)</formula>
    </cfRule>
  </conditionalFormatting>
  <conditionalFormatting sqref="G3:N3">
    <cfRule type="expression" dxfId="1193" priority="929">
      <formula>G$3=period_selected</formula>
    </cfRule>
  </conditionalFormatting>
  <conditionalFormatting sqref="G5:N10 G11:R19 G20:M52 G53:R55 G56:M60 G61:N61 G62:M68 G67:N67 G69:N71 N20:R30 N62:N66 N68">
    <cfRule type="expression" dxfId="1192" priority="924">
      <formula>PercentCompleteBeyond</formula>
    </cfRule>
  </conditionalFormatting>
  <conditionalFormatting sqref="G5:N10 G11:R19 N20:R30 G20:M52 G53:R55 G56:M60 G61:N61 N62:N66 G62:M68 G67:N67 N68 G69:N71">
    <cfRule type="expression" dxfId="1191" priority="930">
      <formula>MOD(COLUMN(),2)</formula>
    </cfRule>
    <cfRule type="expression" dxfId="1190" priority="931">
      <formula>MOD(COLUMN(),2)=0</formula>
    </cfRule>
    <cfRule type="expression" dxfId="1189" priority="925">
      <formula>Actual</formula>
    </cfRule>
    <cfRule type="expression" dxfId="1188" priority="926">
      <formula>ActualBeyond</formula>
    </cfRule>
    <cfRule type="expression" dxfId="1187" priority="927">
      <formula>Plan</formula>
    </cfRule>
    <cfRule type="expression" dxfId="1186" priority="928">
      <formula>G$3=period_selected</formula>
    </cfRule>
  </conditionalFormatting>
  <conditionalFormatting sqref="J4:M4 G6:M18 G11:R19 M19:M52 N20:R30 G20:M52 G53:R55 G56:M60">
    <cfRule type="expression" dxfId="1185" priority="60">
      <formula>AND($B4&lt;&gt;"",$C4&lt;&gt;"",$D4&gt;0,$B4&lt;=EOMONTH(G$3,0),($B4+(($C4-$B4)*$D4))&gt;=G$3)</formula>
    </cfRule>
    <cfRule type="expression" dxfId="1184" priority="61">
      <formula>AND($B4&lt;&gt;"",$C4&lt;&gt;"",$B4&lt;=EOMONTH(G$3,0),$C4&gt;=G$3)</formula>
    </cfRule>
  </conditionalFormatting>
  <conditionalFormatting sqref="J4:M4 G6:M68 G70:M71">
    <cfRule type="expression" dxfId="1183" priority="922">
      <formula>AND($B4&lt;&gt;"",$C4&lt;&gt;"",$D4&lt;&gt;"",$B4&lt;=EOMONTH(G$3,0),($B4+(($C4-$B4)*$D4))&gt;=G$3)</formula>
    </cfRule>
    <cfRule type="expression" dxfId="1182" priority="923">
      <formula>AND($B4&lt;&gt;"",$C4&lt;&gt;"",$B4&lt;=EOMONTH(G$3,0),$C4&gt;=G$3)</formula>
    </cfRule>
  </conditionalFormatting>
  <conditionalFormatting sqref="J4:N4">
    <cfRule type="expression" dxfId="1181" priority="23">
      <formula>PercentCompleteBeyond</formula>
    </cfRule>
    <cfRule type="expression" dxfId="1180" priority="24">
      <formula>Actual</formula>
    </cfRule>
    <cfRule type="expression" dxfId="1179" priority="25">
      <formula>ActualBeyond</formula>
    </cfRule>
    <cfRule type="expression" dxfId="1178" priority="26">
      <formula>Plan</formula>
    </cfRule>
    <cfRule type="expression" dxfId="1177" priority="27">
      <formula>J$3=period_selected</formula>
    </cfRule>
    <cfRule type="expression" dxfId="1176" priority="28">
      <formula>MOD(COLUMN(),2)</formula>
    </cfRule>
    <cfRule type="expression" dxfId="1175" priority="29">
      <formula>MOD(COLUMN(),2)=0</formula>
    </cfRule>
  </conditionalFormatting>
  <conditionalFormatting sqref="N24:N52">
    <cfRule type="expression" dxfId="1174" priority="246">
      <formula>MOD(COLUMN(),2)</formula>
    </cfRule>
    <cfRule type="expression" dxfId="1173" priority="247">
      <formula>MOD(COLUMN(),2)=0</formula>
    </cfRule>
    <cfRule type="expression" dxfId="1172" priority="241">
      <formula>PercentCompleteBeyond</formula>
    </cfRule>
    <cfRule type="expression" dxfId="1171" priority="242">
      <formula>Actual</formula>
    </cfRule>
    <cfRule type="expression" dxfId="1170" priority="243">
      <formula>ActualBeyond</formula>
    </cfRule>
    <cfRule type="expression" dxfId="1169" priority="244">
      <formula>Plan</formula>
    </cfRule>
    <cfRule type="expression" dxfId="1168" priority="245">
      <formula>N$3=period_selected</formula>
    </cfRule>
  </conditionalFormatting>
  <conditionalFormatting sqref="N56:N60">
    <cfRule type="expression" dxfId="1167" priority="47">
      <formula>PercentCompleteBeyond</formula>
    </cfRule>
    <cfRule type="expression" dxfId="1166" priority="48">
      <formula>Actual</formula>
    </cfRule>
    <cfRule type="expression" dxfId="1165" priority="49">
      <formula>ActualBeyond</formula>
    </cfRule>
    <cfRule type="expression" dxfId="1164" priority="50">
      <formula>Plan</formula>
    </cfRule>
    <cfRule type="expression" dxfId="1163" priority="51">
      <formula>N$3=period_selected</formula>
    </cfRule>
    <cfRule type="expression" dxfId="1162" priority="52">
      <formula>MOD(COLUMN(),2)</formula>
    </cfRule>
    <cfRule type="expression" dxfId="1161" priority="53">
      <formula>MOD(COLUMN(),2)=0</formula>
    </cfRule>
  </conditionalFormatting>
  <conditionalFormatting sqref="N20:R30">
    <cfRule type="expression" dxfId="1160" priority="921">
      <formula>AND($B20&lt;&gt;"",$C20&lt;&gt;"",$B20&lt;=EOMONTH(N$3,0),$C20&gt;=N$3)</formula>
    </cfRule>
  </conditionalFormatting>
  <dataValidations count="5">
    <dataValidation allowBlank="1" showInputMessage="1" showErrorMessage="1" prompt="Enter actual duration period in column F, starting with cell F5" sqref="C2:E4" xr:uid="{3E9DF7BD-F102-4DC7-AD61-8B66095ED3B3}"/>
    <dataValidation allowBlank="1" showInputMessage="1" showErrorMessage="1" prompt="Enter activity in column B, starting with cell B5_x000a_" sqref="A2:A4" xr:uid="{9DDE989D-54B3-493B-98CB-FA21A40321AB}"/>
    <dataValidation allowBlank="1" showInputMessage="1" showErrorMessage="1" prompt="Enter plan start period in column C, starting with cell C5" sqref="B2:B4" xr:uid="{A2DB6B92-D293-432D-A0D4-FEE189CD41DC}"/>
    <dataValidation allowBlank="1" showInputMessage="1" showErrorMessage="1" prompt="Enter the percentage of project completed in column G, starting with cell G5" sqref="D2:E4" xr:uid="{DE82CC2C-E9C0-4584-A38C-07FF0FBB009B}"/>
    <dataValidation allowBlank="1" showInputMessage="1" showErrorMessage="1" prompt="Title of the project. Enter a new title in this cell. Highlight a period in H2. Chart legend is in J2 to AI2" sqref="A1" xr:uid="{E0CF746C-462F-425F-A026-0A530F48B6DB}"/>
  </dataValidations>
  <printOptions horizontalCentered="1"/>
  <pageMargins left="0.45" right="0.45" top="0.5" bottom="0.5" header="0.3" footer="0.3"/>
  <pageSetup paperSize="8" fitToHeight="0" orientation="landscape" r:id="rId1"/>
  <headerFooter differentFirst="1">
    <oddFooter>&amp;L_x000D_&amp;1#&amp;"Aptos"&amp;8&amp;K000000 Sensitivity: LNT Construction Internal Use</oddFooter>
    <firstFooter>&amp;L_x000D_&amp;1#&amp;"Aptos"&amp;8&amp;K000000 Sensitivity: LNT Construction Internal Use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B6FDD-5007-4165-88BF-0D117269FF6D}">
  <dimension ref="B1:F13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C10" sqref="C10"/>
    </sheetView>
  </sheetViews>
  <sheetFormatPr defaultColWidth="8.58203125" defaultRowHeight="14.5" x14ac:dyDescent="0.35"/>
  <cols>
    <col min="1" max="1" width="8.58203125" style="197"/>
    <col min="2" max="2" width="30.5" style="197" bestFit="1" customWidth="1"/>
    <col min="3" max="3" width="17.83203125" style="197" customWidth="1"/>
    <col min="4" max="4" width="8.58203125" style="197"/>
    <col min="5" max="5" width="10.83203125" style="197" customWidth="1"/>
    <col min="6" max="6" width="15.33203125" style="197" bestFit="1" customWidth="1"/>
    <col min="7" max="16384" width="8.58203125" style="197"/>
  </cols>
  <sheetData>
    <row r="1" spans="2:6" x14ac:dyDescent="0.35">
      <c r="B1" s="253" t="s">
        <v>372</v>
      </c>
      <c r="C1" s="253" t="s">
        <v>31</v>
      </c>
    </row>
    <row r="2" spans="2:6" x14ac:dyDescent="0.35">
      <c r="B2" s="254"/>
      <c r="C2" s="254"/>
    </row>
    <row r="3" spans="2:6" ht="19" x14ac:dyDescent="0.35">
      <c r="B3" s="198" t="s">
        <v>373</v>
      </c>
      <c r="C3" s="199">
        <v>46305</v>
      </c>
      <c r="E3" s="200" t="s">
        <v>374</v>
      </c>
      <c r="F3" s="201" t="s">
        <v>305</v>
      </c>
    </row>
    <row r="4" spans="2:6" ht="19" x14ac:dyDescent="0.35">
      <c r="B4" s="202" t="s">
        <v>375</v>
      </c>
      <c r="C4" s="203">
        <v>46321</v>
      </c>
      <c r="E4" s="204" t="s">
        <v>376</v>
      </c>
      <c r="F4" s="199">
        <v>46310</v>
      </c>
    </row>
    <row r="5" spans="2:6" ht="19" x14ac:dyDescent="0.35">
      <c r="B5" s="198" t="s">
        <v>377</v>
      </c>
      <c r="C5" s="199">
        <v>46341</v>
      </c>
      <c r="E5" s="204" t="s">
        <v>378</v>
      </c>
      <c r="F5" s="199">
        <v>46346</v>
      </c>
    </row>
    <row r="6" spans="2:6" ht="19" x14ac:dyDescent="0.35">
      <c r="B6" s="202" t="s">
        <v>379</v>
      </c>
      <c r="C6" s="203">
        <v>46351</v>
      </c>
      <c r="E6" s="205" t="s">
        <v>380</v>
      </c>
      <c r="F6" s="199">
        <v>46366</v>
      </c>
    </row>
    <row r="7" spans="2:6" ht="19" x14ac:dyDescent="0.35">
      <c r="B7" s="198" t="s">
        <v>11</v>
      </c>
      <c r="C7" s="199">
        <v>46366</v>
      </c>
      <c r="E7" s="206" t="s">
        <v>381</v>
      </c>
      <c r="F7" s="199">
        <v>46381</v>
      </c>
    </row>
    <row r="8" spans="2:6" ht="19" x14ac:dyDescent="0.35">
      <c r="B8" s="202" t="s">
        <v>382</v>
      </c>
      <c r="C8" s="203">
        <v>46374</v>
      </c>
      <c r="E8" s="207"/>
      <c r="F8" s="207"/>
    </row>
    <row r="9" spans="2:6" ht="19" x14ac:dyDescent="0.35">
      <c r="B9" s="198" t="s">
        <v>383</v>
      </c>
      <c r="C9" s="199">
        <v>46356</v>
      </c>
    </row>
    <row r="10" spans="2:6" ht="19" x14ac:dyDescent="0.35">
      <c r="B10" s="202" t="s">
        <v>384</v>
      </c>
      <c r="C10" s="203">
        <v>46371</v>
      </c>
    </row>
    <row r="11" spans="2:6" ht="19" x14ac:dyDescent="0.35">
      <c r="B11" s="198" t="s">
        <v>385</v>
      </c>
      <c r="C11" s="199">
        <v>46380</v>
      </c>
    </row>
    <row r="12" spans="2:6" ht="19" x14ac:dyDescent="0.35">
      <c r="B12" s="202" t="s">
        <v>386</v>
      </c>
      <c r="C12" s="203">
        <v>46361</v>
      </c>
    </row>
    <row r="13" spans="2:6" ht="19" x14ac:dyDescent="0.35">
      <c r="B13" s="198" t="s">
        <v>387</v>
      </c>
      <c r="C13" s="199">
        <v>46371</v>
      </c>
    </row>
  </sheetData>
  <mergeCells count="2">
    <mergeCell ref="B1:B2"/>
    <mergeCell ref="C1:C2"/>
  </mergeCells>
  <pageMargins left="0.7" right="0.7" top="0.75" bottom="0.75" header="0.3" footer="0.3"/>
  <headerFooter>
    <oddFooter>&amp;L_x000D_&amp;1#&amp;"Aptos"&amp;8&amp;K000000 Sensitivity: LNT Construction Internal Use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342C8-83A9-447B-8C69-DCEFF53F0271}">
  <sheetPr>
    <tabColor theme="7"/>
    <pageSetUpPr fitToPage="1"/>
  </sheetPr>
  <dimension ref="A1:L1048571"/>
  <sheetViews>
    <sheetView showGridLines="0" tabSelected="1" zoomScale="74" zoomScaleNormal="85" zoomScaleSheetLayoutView="80" workbookViewId="0">
      <pane ySplit="3" topLeftCell="A4" activePane="bottomLeft" state="frozen"/>
      <selection pane="bottomLeft" activeCell="F5" sqref="F5:F15"/>
    </sheetView>
  </sheetViews>
  <sheetFormatPr defaultColWidth="2.75" defaultRowHeight="30" customHeight="1" x14ac:dyDescent="0.4"/>
  <cols>
    <col min="1" max="1" width="39.5" style="2" customWidth="1"/>
    <col min="2" max="3" width="13.33203125" style="227" customWidth="1"/>
    <col min="4" max="4" width="13.33203125" customWidth="1"/>
    <col min="5" max="5" width="13.33203125" style="226" customWidth="1"/>
    <col min="6" max="7" width="13.33203125" style="228" customWidth="1"/>
    <col min="8" max="11" width="13.33203125" style="226" customWidth="1"/>
    <col min="12" max="12" width="29.83203125" style="226" bestFit="1" customWidth="1"/>
    <col min="22" max="22" width="4.75" bestFit="1" customWidth="1"/>
  </cols>
  <sheetData>
    <row r="1" spans="1:12" ht="30.75" customHeight="1" x14ac:dyDescent="0.35">
      <c r="A1" s="47" t="s">
        <v>288</v>
      </c>
      <c r="B1" s="208"/>
      <c r="C1" s="208"/>
      <c r="D1" s="49"/>
      <c r="E1" s="209"/>
      <c r="F1" s="210"/>
      <c r="G1" s="210"/>
      <c r="H1" s="209"/>
      <c r="I1" s="209"/>
      <c r="J1" s="209"/>
      <c r="K1" s="238"/>
      <c r="L1" s="238"/>
    </row>
    <row r="2" spans="1:12" s="11" customFormat="1" ht="15.75" customHeight="1" x14ac:dyDescent="0.35">
      <c r="A2" s="247" t="s">
        <v>1</v>
      </c>
      <c r="B2" s="256" t="s">
        <v>304</v>
      </c>
      <c r="C2" s="256" t="s">
        <v>305</v>
      </c>
      <c r="D2" s="248" t="s">
        <v>102</v>
      </c>
      <c r="E2" s="249" t="s">
        <v>103</v>
      </c>
      <c r="F2" s="251" t="s">
        <v>421</v>
      </c>
      <c r="G2" s="251" t="s">
        <v>409</v>
      </c>
      <c r="H2" s="246" t="s">
        <v>105</v>
      </c>
      <c r="I2" s="246" t="s">
        <v>392</v>
      </c>
      <c r="J2" s="246" t="s">
        <v>393</v>
      </c>
      <c r="K2" s="246" t="s">
        <v>394</v>
      </c>
      <c r="L2" s="246" t="s">
        <v>97</v>
      </c>
    </row>
    <row r="3" spans="1:12" ht="38.15" customHeight="1" x14ac:dyDescent="0.35">
      <c r="A3" s="247"/>
      <c r="B3" s="257"/>
      <c r="C3" s="257"/>
      <c r="D3" s="252"/>
      <c r="E3" s="250"/>
      <c r="F3" s="258"/>
      <c r="G3" s="258"/>
      <c r="H3" s="249"/>
      <c r="I3" s="249"/>
      <c r="J3" s="249"/>
      <c r="K3" s="249"/>
      <c r="L3" s="249"/>
    </row>
    <row r="4" spans="1:12" ht="30" customHeight="1" x14ac:dyDescent="0.35">
      <c r="A4" s="4" t="s">
        <v>7</v>
      </c>
      <c r="B4" s="211"/>
      <c r="C4" s="211"/>
      <c r="D4" s="5"/>
      <c r="E4" s="212"/>
      <c r="F4" s="213"/>
      <c r="G4" s="213"/>
      <c r="H4" s="212"/>
      <c r="I4" s="212"/>
      <c r="J4" s="212"/>
      <c r="K4" s="212"/>
      <c r="L4" s="212"/>
    </row>
    <row r="5" spans="1:12" s="242" customFormat="1" ht="18.5" x14ac:dyDescent="0.35">
      <c r="A5" s="217" t="s">
        <v>8</v>
      </c>
      <c r="B5" s="218">
        <v>45910</v>
      </c>
      <c r="C5" s="218">
        <v>46305</v>
      </c>
      <c r="D5" s="141" t="s">
        <v>395</v>
      </c>
      <c r="E5" s="219">
        <v>4151</v>
      </c>
      <c r="F5" s="219">
        <v>4115.45</v>
      </c>
      <c r="G5" s="220">
        <f>F5/E5</f>
        <v>0.99143579860274633</v>
      </c>
      <c r="H5" s="219">
        <f>(E5-F5)*G5</f>
        <v>35.245542640327812</v>
      </c>
      <c r="I5" s="219">
        <f ca="1">H5/(C5-(IF(B5&gt;TODAY(),B5,TODAY())))</f>
        <v>35.245542640327812</v>
      </c>
      <c r="J5" s="219">
        <f ca="1">ROUND(I5/1,0)</f>
        <v>35</v>
      </c>
      <c r="K5" s="219">
        <v>65</v>
      </c>
      <c r="L5" s="219"/>
    </row>
    <row r="6" spans="1:12" ht="18.5" x14ac:dyDescent="0.35">
      <c r="A6" s="131" t="s">
        <v>278</v>
      </c>
      <c r="B6" s="214">
        <v>45991</v>
      </c>
      <c r="C6" s="214">
        <v>46320</v>
      </c>
      <c r="D6" s="132" t="s">
        <v>396</v>
      </c>
      <c r="E6" s="215">
        <v>50950</v>
      </c>
      <c r="F6" s="215">
        <v>50087.5</v>
      </c>
      <c r="G6" s="220">
        <f>F6/E6</f>
        <v>0.98307163886162907</v>
      </c>
      <c r="H6" s="219">
        <f>(E6-F6)*G6</f>
        <v>847.89928851815512</v>
      </c>
      <c r="I6" s="215">
        <f ca="1">H6/(C6-(IF(B6&gt;TODAY(),B6,TODAY())))</f>
        <v>52.993705532384695</v>
      </c>
      <c r="J6" s="215">
        <f ca="1">ROUND(I6/10,0)</f>
        <v>5</v>
      </c>
      <c r="K6" s="215">
        <v>7</v>
      </c>
      <c r="L6" s="215"/>
    </row>
    <row r="7" spans="1:12" ht="18.5" x14ac:dyDescent="0.35">
      <c r="A7" s="131" t="s">
        <v>291</v>
      </c>
      <c r="B7" s="214">
        <v>46047</v>
      </c>
      <c r="C7" s="214">
        <v>46341</v>
      </c>
      <c r="D7" s="132" t="s">
        <v>397</v>
      </c>
      <c r="E7" s="215">
        <f>206+511</f>
        <v>717</v>
      </c>
      <c r="F7" s="215">
        <v>378</v>
      </c>
      <c r="G7" s="220">
        <f>F7/E7</f>
        <v>0.52719665271966532</v>
      </c>
      <c r="H7" s="219">
        <f>(E7-F7)*G7</f>
        <v>178.71966527196653</v>
      </c>
      <c r="I7" s="215">
        <f ca="1">H7/(C7-(IF(B7&gt;TODAY(),B7,TODAY())))</f>
        <v>4.8302612235666631</v>
      </c>
      <c r="J7" s="215">
        <f ca="1">ROUND(I7/3,0)</f>
        <v>2</v>
      </c>
      <c r="K7" s="215">
        <v>14</v>
      </c>
      <c r="L7" s="215"/>
    </row>
    <row r="8" spans="1:12" ht="18.5" x14ac:dyDescent="0.35">
      <c r="A8" s="131" t="s">
        <v>75</v>
      </c>
      <c r="B8" s="214">
        <v>46009</v>
      </c>
      <c r="C8" s="214">
        <v>46351</v>
      </c>
      <c r="D8" s="132" t="s">
        <v>396</v>
      </c>
      <c r="E8" s="215">
        <v>29200</v>
      </c>
      <c r="F8" s="215">
        <v>22255</v>
      </c>
      <c r="G8" s="216">
        <f t="shared" ref="G8:G15" si="0">F8/E8</f>
        <v>0.7621575342465754</v>
      </c>
      <c r="H8" s="215">
        <f t="shared" ref="H8:H15" si="1">(E8-F8)*G8</f>
        <v>5293.1840753424658</v>
      </c>
      <c r="I8" s="215">
        <f t="shared" ref="I8:I15" ca="1" si="2">H8/(C8-(IF(B8&gt;TODAY(),B8,TODAY())))</f>
        <v>112.62093777324395</v>
      </c>
      <c r="J8" s="215">
        <f t="shared" ref="J8" ca="1" si="3">ROUND(I8/3,0)</f>
        <v>38</v>
      </c>
      <c r="K8" s="215">
        <v>30</v>
      </c>
      <c r="L8" s="215"/>
    </row>
    <row r="9" spans="1:12" ht="18.5" x14ac:dyDescent="0.35">
      <c r="A9" s="131" t="s">
        <v>410</v>
      </c>
      <c r="B9" s="214">
        <v>46211</v>
      </c>
      <c r="C9" s="214">
        <v>46310</v>
      </c>
      <c r="D9" s="132" t="s">
        <v>396</v>
      </c>
      <c r="E9" s="215">
        <v>4152</v>
      </c>
      <c r="F9" s="215">
        <v>2283.6000000000004</v>
      </c>
      <c r="G9" s="216">
        <f t="shared" si="0"/>
        <v>0.55000000000000004</v>
      </c>
      <c r="H9" s="215">
        <f t="shared" si="1"/>
        <v>1027.6199999999999</v>
      </c>
      <c r="I9" s="215">
        <f t="shared" ca="1" si="2"/>
        <v>171.26999999999998</v>
      </c>
      <c r="J9" s="215">
        <f ca="1">ROUND(I9/12,0)</f>
        <v>14</v>
      </c>
      <c r="K9" s="215">
        <v>9</v>
      </c>
      <c r="L9" s="215"/>
    </row>
    <row r="10" spans="1:12" ht="18.5" x14ac:dyDescent="0.35">
      <c r="A10" s="131" t="s">
        <v>411</v>
      </c>
      <c r="B10" s="214">
        <v>46270</v>
      </c>
      <c r="C10" s="214">
        <v>46323</v>
      </c>
      <c r="D10" s="132" t="s">
        <v>396</v>
      </c>
      <c r="E10" s="215">
        <v>3598</v>
      </c>
      <c r="F10" s="215">
        <v>408</v>
      </c>
      <c r="G10" s="216">
        <f t="shared" si="0"/>
        <v>0.11339633129516398</v>
      </c>
      <c r="H10" s="215">
        <f t="shared" si="1"/>
        <v>361.73429683157309</v>
      </c>
      <c r="I10" s="215">
        <f t="shared" ca="1" si="2"/>
        <v>19.038647201661743</v>
      </c>
      <c r="J10" s="215">
        <f ca="1">ROUND(I10/12,0)</f>
        <v>2</v>
      </c>
      <c r="K10" s="215">
        <v>5</v>
      </c>
      <c r="L10" s="215"/>
    </row>
    <row r="11" spans="1:12" ht="18.5" x14ac:dyDescent="0.35">
      <c r="A11" s="131" t="s">
        <v>412</v>
      </c>
      <c r="B11" s="214">
        <v>46331</v>
      </c>
      <c r="C11" s="214">
        <v>46346</v>
      </c>
      <c r="D11" s="132" t="s">
        <v>396</v>
      </c>
      <c r="E11" s="215">
        <v>3598</v>
      </c>
      <c r="F11" s="215">
        <v>0</v>
      </c>
      <c r="G11" s="216">
        <f t="shared" si="0"/>
        <v>0</v>
      </c>
      <c r="H11" s="215">
        <f t="shared" si="1"/>
        <v>0</v>
      </c>
      <c r="I11" s="215">
        <f t="shared" ca="1" si="2"/>
        <v>0</v>
      </c>
      <c r="J11" s="215">
        <f ca="1">ROUND(I11/12,0)</f>
        <v>0</v>
      </c>
      <c r="K11" s="215"/>
      <c r="L11" s="215"/>
    </row>
    <row r="12" spans="1:12" ht="18.5" x14ac:dyDescent="0.35">
      <c r="A12" s="131" t="s">
        <v>413</v>
      </c>
      <c r="B12" s="214">
        <v>46356</v>
      </c>
      <c r="C12" s="214">
        <v>46371</v>
      </c>
      <c r="D12" s="132" t="s">
        <v>396</v>
      </c>
      <c r="E12" s="215">
        <v>3715</v>
      </c>
      <c r="F12" s="215">
        <v>0</v>
      </c>
      <c r="G12" s="216">
        <f t="shared" si="0"/>
        <v>0</v>
      </c>
      <c r="H12" s="215">
        <f t="shared" si="1"/>
        <v>0</v>
      </c>
      <c r="I12" s="215">
        <f t="shared" ca="1" si="2"/>
        <v>0</v>
      </c>
      <c r="J12" s="215">
        <f ca="1">ROUND(I12/12,0)</f>
        <v>0</v>
      </c>
      <c r="K12" s="215"/>
      <c r="L12" s="215"/>
    </row>
    <row r="13" spans="1:12" ht="18.5" x14ac:dyDescent="0.35">
      <c r="A13" s="131" t="s">
        <v>12</v>
      </c>
      <c r="B13" s="214">
        <v>46295</v>
      </c>
      <c r="C13" s="214">
        <v>46351</v>
      </c>
      <c r="D13" s="132" t="s">
        <v>396</v>
      </c>
      <c r="E13" s="215">
        <f>60*4</f>
        <v>240</v>
      </c>
      <c r="F13" s="215">
        <v>0</v>
      </c>
      <c r="G13" s="216">
        <f t="shared" si="0"/>
        <v>0</v>
      </c>
      <c r="H13" s="215">
        <f t="shared" si="1"/>
        <v>0</v>
      </c>
      <c r="I13" s="215">
        <f t="shared" ca="1" si="2"/>
        <v>0</v>
      </c>
      <c r="J13" s="215">
        <f ca="1">ROUND(I13/6,0)</f>
        <v>0</v>
      </c>
      <c r="K13" s="215"/>
      <c r="L13" s="239" t="s">
        <v>414</v>
      </c>
    </row>
    <row r="14" spans="1:12" ht="18.5" x14ac:dyDescent="0.35">
      <c r="A14" s="217" t="s">
        <v>341</v>
      </c>
      <c r="B14" s="218">
        <v>46320</v>
      </c>
      <c r="C14" s="218">
        <v>46380</v>
      </c>
      <c r="D14" s="141" t="s">
        <v>396</v>
      </c>
      <c r="E14" s="219">
        <v>640</v>
      </c>
      <c r="F14" s="219">
        <v>0</v>
      </c>
      <c r="G14" s="220">
        <f t="shared" si="0"/>
        <v>0</v>
      </c>
      <c r="H14" s="215">
        <f t="shared" si="1"/>
        <v>0</v>
      </c>
      <c r="I14" s="215">
        <f t="shared" ca="1" si="2"/>
        <v>0</v>
      </c>
      <c r="J14" s="215">
        <f ca="1">ROUND(I14/8,0)</f>
        <v>0</v>
      </c>
      <c r="K14" s="219"/>
      <c r="L14" s="240" t="s">
        <v>415</v>
      </c>
    </row>
    <row r="15" spans="1:12" ht="18.5" x14ac:dyDescent="0.35">
      <c r="A15" s="217" t="s">
        <v>13</v>
      </c>
      <c r="B15" s="218">
        <v>46341</v>
      </c>
      <c r="C15" s="218">
        <v>46380</v>
      </c>
      <c r="D15" s="141" t="s">
        <v>398</v>
      </c>
      <c r="E15" s="219">
        <f>96*4+45+21+25</f>
        <v>475</v>
      </c>
      <c r="F15" s="219">
        <v>0</v>
      </c>
      <c r="G15" s="220">
        <f t="shared" si="0"/>
        <v>0</v>
      </c>
      <c r="H15" s="215">
        <f t="shared" si="1"/>
        <v>0</v>
      </c>
      <c r="I15" s="215">
        <f t="shared" ca="1" si="2"/>
        <v>0</v>
      </c>
      <c r="J15" s="215">
        <f ca="1">ROUND(I15/9,0)</f>
        <v>0</v>
      </c>
      <c r="K15" s="219"/>
      <c r="L15" s="240" t="s">
        <v>422</v>
      </c>
    </row>
    <row r="16" spans="1:12" s="235" customFormat="1" ht="30" customHeight="1" x14ac:dyDescent="0.35">
      <c r="A16" s="162" t="s">
        <v>295</v>
      </c>
      <c r="B16" s="234"/>
      <c r="C16" s="234"/>
      <c r="D16" s="163"/>
      <c r="E16" s="232"/>
      <c r="F16" s="233"/>
      <c r="G16" s="233"/>
      <c r="H16" s="232"/>
      <c r="I16" s="232"/>
      <c r="J16" s="232"/>
      <c r="K16" s="232"/>
      <c r="L16" s="232"/>
    </row>
    <row r="17" spans="1:12" s="1" customFormat="1" ht="18.5" x14ac:dyDescent="0.35">
      <c r="A17" s="131" t="s">
        <v>20</v>
      </c>
      <c r="B17" s="214"/>
      <c r="C17" s="214"/>
      <c r="D17" s="132"/>
      <c r="E17" s="215"/>
      <c r="F17" s="215"/>
      <c r="G17" s="216"/>
      <c r="H17" s="215"/>
      <c r="I17" s="215"/>
      <c r="J17" s="215"/>
      <c r="K17" s="223"/>
      <c r="L17" s="223"/>
    </row>
    <row r="18" spans="1:12" s="1" customFormat="1" ht="18.5" x14ac:dyDescent="0.35">
      <c r="A18" s="224" t="s">
        <v>8</v>
      </c>
      <c r="B18" s="214">
        <v>46308</v>
      </c>
      <c r="C18" s="214">
        <v>46315</v>
      </c>
      <c r="D18" s="132" t="s">
        <v>396</v>
      </c>
      <c r="E18" s="215">
        <v>865</v>
      </c>
      <c r="F18" s="215">
        <v>825</v>
      </c>
      <c r="G18" s="216">
        <f t="shared" ref="G18:G30" si="4">F18/E18</f>
        <v>0.95375722543352603</v>
      </c>
      <c r="H18" s="215">
        <f t="shared" ref="H18:H30" si="5">(E18-F18)*G18</f>
        <v>38.150289017341038</v>
      </c>
      <c r="I18" s="215">
        <f t="shared" ref="I18:I30" ca="1" si="6">H18/(C18-(IF(B18&gt;TODAY(),B18,TODAY())))</f>
        <v>5.450041288191577</v>
      </c>
      <c r="J18" s="215">
        <f ca="1">ROUND(I18/1,0)</f>
        <v>5</v>
      </c>
      <c r="K18" s="215"/>
      <c r="L18" s="215" t="s">
        <v>416</v>
      </c>
    </row>
    <row r="19" spans="1:12" s="1" customFormat="1" ht="18.5" x14ac:dyDescent="0.35">
      <c r="A19" s="224" t="s">
        <v>9</v>
      </c>
      <c r="B19" s="214">
        <f>C18+1</f>
        <v>46316</v>
      </c>
      <c r="C19" s="214">
        <f>C18+8</f>
        <v>46323</v>
      </c>
      <c r="D19" s="132" t="s">
        <v>396</v>
      </c>
      <c r="E19" s="215">
        <v>1012</v>
      </c>
      <c r="F19" s="215">
        <v>896</v>
      </c>
      <c r="G19" s="216">
        <f t="shared" si="4"/>
        <v>0.88537549407114624</v>
      </c>
      <c r="H19" s="215">
        <f t="shared" si="5"/>
        <v>102.70355731225297</v>
      </c>
      <c r="I19" s="215">
        <f t="shared" ca="1" si="6"/>
        <v>14.671936758893281</v>
      </c>
      <c r="J19" s="215">
        <f ca="1">ROUND(I19/10,0)</f>
        <v>1</v>
      </c>
      <c r="K19" s="215"/>
      <c r="L19" s="215"/>
    </row>
    <row r="20" spans="1:12" s="1" customFormat="1" ht="18.5" x14ac:dyDescent="0.35">
      <c r="A20" s="224" t="s">
        <v>399</v>
      </c>
      <c r="B20" s="214">
        <v>46296</v>
      </c>
      <c r="C20" s="214">
        <v>46333</v>
      </c>
      <c r="D20" s="132" t="s">
        <v>396</v>
      </c>
      <c r="E20" s="215">
        <v>345</v>
      </c>
      <c r="F20" s="215">
        <v>27</v>
      </c>
      <c r="G20" s="216">
        <f t="shared" si="4"/>
        <v>7.8260869565217397E-2</v>
      </c>
      <c r="H20" s="215">
        <f t="shared" si="5"/>
        <v>24.886956521739133</v>
      </c>
      <c r="I20" s="215">
        <f t="shared" ca="1" si="6"/>
        <v>0.85817091454272876</v>
      </c>
      <c r="J20" s="215">
        <f ca="1">ROUND(I20/12,0)</f>
        <v>0</v>
      </c>
      <c r="K20" s="215">
        <v>4</v>
      </c>
      <c r="L20" s="215" t="s">
        <v>417</v>
      </c>
    </row>
    <row r="21" spans="1:12" s="1" customFormat="1" ht="18.5" x14ac:dyDescent="0.35">
      <c r="A21" s="224" t="s">
        <v>400</v>
      </c>
      <c r="B21" s="214">
        <f>B20+3</f>
        <v>46299</v>
      </c>
      <c r="C21" s="214">
        <f>C20+3</f>
        <v>46336</v>
      </c>
      <c r="D21" s="132" t="s">
        <v>396</v>
      </c>
      <c r="E21" s="215">
        <v>345</v>
      </c>
      <c r="F21" s="215">
        <v>0</v>
      </c>
      <c r="G21" s="216">
        <f t="shared" si="4"/>
        <v>0</v>
      </c>
      <c r="H21" s="215">
        <f t="shared" si="5"/>
        <v>0</v>
      </c>
      <c r="I21" s="215">
        <f t="shared" ca="1" si="6"/>
        <v>0</v>
      </c>
      <c r="J21" s="215">
        <f ca="1">ROUND(I21/10,0)</f>
        <v>0</v>
      </c>
      <c r="K21" s="215"/>
      <c r="L21" s="215"/>
    </row>
    <row r="22" spans="1:12" s="1" customFormat="1" ht="18.5" x14ac:dyDescent="0.35">
      <c r="A22" s="224" t="s">
        <v>401</v>
      </c>
      <c r="B22" s="214">
        <v>46305</v>
      </c>
      <c r="C22" s="214">
        <f>C21+5</f>
        <v>46341</v>
      </c>
      <c r="D22" s="132" t="s">
        <v>396</v>
      </c>
      <c r="E22" s="215">
        <f>28*0.96*20.7+13.46*8.4</f>
        <v>669.4799999999999</v>
      </c>
      <c r="F22" s="215">
        <v>0</v>
      </c>
      <c r="G22" s="216">
        <f t="shared" si="4"/>
        <v>0</v>
      </c>
      <c r="H22" s="215">
        <f t="shared" si="5"/>
        <v>0</v>
      </c>
      <c r="I22" s="215">
        <f t="shared" ca="1" si="6"/>
        <v>0</v>
      </c>
      <c r="J22" s="215">
        <f ca="1">ROUND(I22/5,0)</f>
        <v>0</v>
      </c>
      <c r="K22" s="215"/>
      <c r="L22" s="215" t="s">
        <v>417</v>
      </c>
    </row>
    <row r="23" spans="1:12" s="1" customFormat="1" ht="18.5" x14ac:dyDescent="0.35">
      <c r="A23" s="224" t="s">
        <v>402</v>
      </c>
      <c r="B23" s="214">
        <f>C22+1</f>
        <v>46342</v>
      </c>
      <c r="C23" s="214">
        <f>B23+4</f>
        <v>46346</v>
      </c>
      <c r="D23" s="132" t="s">
        <v>396</v>
      </c>
      <c r="E23" s="215">
        <v>1270</v>
      </c>
      <c r="F23" s="215">
        <v>0</v>
      </c>
      <c r="G23" s="216">
        <f t="shared" si="4"/>
        <v>0</v>
      </c>
      <c r="H23" s="215">
        <f t="shared" si="5"/>
        <v>0</v>
      </c>
      <c r="I23" s="215">
        <f t="shared" ca="1" si="6"/>
        <v>0</v>
      </c>
      <c r="J23" s="215">
        <f ca="1">ROUND(I23/10,0)</f>
        <v>0</v>
      </c>
      <c r="K23" s="215"/>
      <c r="L23" s="215"/>
    </row>
    <row r="24" spans="1:12" s="1" customFormat="1" ht="18.5" x14ac:dyDescent="0.35">
      <c r="A24" s="131" t="s">
        <v>21</v>
      </c>
      <c r="B24" s="214"/>
      <c r="C24" s="214"/>
      <c r="D24" s="132"/>
      <c r="E24" s="215"/>
      <c r="F24" s="215"/>
      <c r="G24" s="216"/>
      <c r="H24" s="215"/>
      <c r="I24" s="215"/>
      <c r="J24" s="215"/>
      <c r="K24" s="223"/>
      <c r="L24" s="223"/>
    </row>
    <row r="25" spans="1:12" s="1" customFormat="1" ht="18.5" x14ac:dyDescent="0.35">
      <c r="A25" s="224" t="s">
        <v>8</v>
      </c>
      <c r="B25" s="214">
        <v>46297</v>
      </c>
      <c r="C25" s="214">
        <v>46318</v>
      </c>
      <c r="D25" s="132" t="s">
        <v>396</v>
      </c>
      <c r="E25" s="215">
        <f>51/0.115</f>
        <v>443.47826086956519</v>
      </c>
      <c r="F25" s="215">
        <v>408</v>
      </c>
      <c r="G25" s="216">
        <f t="shared" si="4"/>
        <v>0.92</v>
      </c>
      <c r="H25" s="215">
        <f t="shared" si="5"/>
        <v>32.639999999999979</v>
      </c>
      <c r="I25" s="215">
        <f t="shared" ca="1" si="6"/>
        <v>2.3314285714285701</v>
      </c>
      <c r="J25" s="215">
        <f ca="1">ROUND(I25/1,0)</f>
        <v>2</v>
      </c>
      <c r="K25" s="223">
        <v>4</v>
      </c>
      <c r="L25" s="223"/>
    </row>
    <row r="26" spans="1:12" s="1" customFormat="1" ht="18.5" x14ac:dyDescent="0.35">
      <c r="A26" s="224" t="s">
        <v>9</v>
      </c>
      <c r="B26" s="214">
        <f>B25+1</f>
        <v>46298</v>
      </c>
      <c r="C26" s="214">
        <f>C25+8</f>
        <v>46326</v>
      </c>
      <c r="D26" s="132" t="s">
        <v>396</v>
      </c>
      <c r="E26" s="215">
        <v>780</v>
      </c>
      <c r="F26" s="215">
        <v>590</v>
      </c>
      <c r="G26" s="216">
        <f t="shared" si="4"/>
        <v>0.75641025641025639</v>
      </c>
      <c r="H26" s="215">
        <f t="shared" si="5"/>
        <v>143.7179487179487</v>
      </c>
      <c r="I26" s="215">
        <f t="shared" ca="1" si="6"/>
        <v>6.5326340326340322</v>
      </c>
      <c r="J26" s="215">
        <f ca="1">ROUND(I26/10,0)</f>
        <v>1</v>
      </c>
      <c r="K26" s="223"/>
      <c r="L26" s="223"/>
    </row>
    <row r="27" spans="1:12" s="1" customFormat="1" ht="18.5" x14ac:dyDescent="0.35">
      <c r="A27" s="224" t="s">
        <v>399</v>
      </c>
      <c r="B27" s="214">
        <v>46300</v>
      </c>
      <c r="C27" s="214">
        <v>46337</v>
      </c>
      <c r="D27" s="132" t="s">
        <v>396</v>
      </c>
      <c r="E27" s="215">
        <v>215</v>
      </c>
      <c r="F27" s="223">
        <v>78</v>
      </c>
      <c r="G27" s="216">
        <f t="shared" si="4"/>
        <v>0.36279069767441863</v>
      </c>
      <c r="H27" s="215">
        <f t="shared" si="5"/>
        <v>49.70232558139535</v>
      </c>
      <c r="I27" s="215">
        <f t="shared" ca="1" si="6"/>
        <v>1.5061310782241015</v>
      </c>
      <c r="J27" s="215">
        <f ca="1">ROUND(I27/12,0)</f>
        <v>0</v>
      </c>
      <c r="K27" s="223">
        <v>11</v>
      </c>
      <c r="L27" s="223"/>
    </row>
    <row r="28" spans="1:12" s="1" customFormat="1" ht="18.5" x14ac:dyDescent="0.35">
      <c r="A28" s="224" t="s">
        <v>400</v>
      </c>
      <c r="B28" s="214">
        <f>B27+3</f>
        <v>46303</v>
      </c>
      <c r="C28" s="214">
        <f>C27+3</f>
        <v>46340</v>
      </c>
      <c r="D28" s="132" t="s">
        <v>396</v>
      </c>
      <c r="E28" s="215">
        <v>215</v>
      </c>
      <c r="F28" s="215">
        <v>14</v>
      </c>
      <c r="G28" s="216">
        <f t="shared" si="4"/>
        <v>6.5116279069767441E-2</v>
      </c>
      <c r="H28" s="215">
        <f t="shared" si="5"/>
        <v>13.088372093023256</v>
      </c>
      <c r="I28" s="215">
        <f t="shared" ca="1" si="6"/>
        <v>0.36356589147286822</v>
      </c>
      <c r="J28" s="215">
        <f ca="1">ROUND(I28/10,0)</f>
        <v>0</v>
      </c>
      <c r="K28" s="223">
        <v>4</v>
      </c>
      <c r="L28" s="223"/>
    </row>
    <row r="29" spans="1:12" s="1" customFormat="1" ht="18.5" x14ac:dyDescent="0.35">
      <c r="A29" s="224" t="s">
        <v>401</v>
      </c>
      <c r="B29" s="214">
        <v>46311</v>
      </c>
      <c r="C29" s="214">
        <f>C28+7</f>
        <v>46347</v>
      </c>
      <c r="D29" s="132" t="s">
        <v>396</v>
      </c>
      <c r="E29" s="215">
        <f>16*2.05*8.4</f>
        <v>275.52</v>
      </c>
      <c r="F29" s="215">
        <v>0</v>
      </c>
      <c r="G29" s="216">
        <f t="shared" si="4"/>
        <v>0</v>
      </c>
      <c r="H29" s="215">
        <f t="shared" si="5"/>
        <v>0</v>
      </c>
      <c r="I29" s="215">
        <f t="shared" ca="1" si="6"/>
        <v>0</v>
      </c>
      <c r="J29" s="215">
        <f ca="1">ROUND(I29/5,0)</f>
        <v>0</v>
      </c>
      <c r="K29" s="223"/>
      <c r="L29" s="223"/>
    </row>
    <row r="30" spans="1:12" s="1" customFormat="1" ht="18.5" x14ac:dyDescent="0.35">
      <c r="A30" s="224" t="s">
        <v>402</v>
      </c>
      <c r="B30" s="214">
        <f>C29+1</f>
        <v>46348</v>
      </c>
      <c r="C30" s="214">
        <f>B30+3</f>
        <v>46351</v>
      </c>
      <c r="D30" s="132" t="s">
        <v>396</v>
      </c>
      <c r="E30" s="215">
        <v>435</v>
      </c>
      <c r="F30" s="215">
        <v>0</v>
      </c>
      <c r="G30" s="216">
        <f t="shared" si="4"/>
        <v>0</v>
      </c>
      <c r="H30" s="215">
        <f t="shared" si="5"/>
        <v>0</v>
      </c>
      <c r="I30" s="215">
        <f t="shared" ca="1" si="6"/>
        <v>0</v>
      </c>
      <c r="J30" s="215">
        <f ca="1">ROUND(I30/10,0)</f>
        <v>0</v>
      </c>
      <c r="K30" s="223"/>
      <c r="L30" s="223"/>
    </row>
    <row r="31" spans="1:12" s="1" customFormat="1" ht="18.5" x14ac:dyDescent="0.35">
      <c r="A31" s="131" t="s">
        <v>22</v>
      </c>
      <c r="B31" s="214"/>
      <c r="C31" s="214"/>
      <c r="D31" s="132"/>
      <c r="E31" s="215"/>
      <c r="F31" s="215"/>
      <c r="G31" s="216"/>
      <c r="H31" s="215"/>
      <c r="I31" s="215"/>
      <c r="J31" s="215"/>
      <c r="K31" s="223"/>
      <c r="L31" s="223"/>
    </row>
    <row r="32" spans="1:12" s="1" customFormat="1" ht="18.5" x14ac:dyDescent="0.35">
      <c r="A32" s="224" t="s">
        <v>8</v>
      </c>
      <c r="B32" s="214">
        <v>46299</v>
      </c>
      <c r="C32" s="214">
        <v>46325</v>
      </c>
      <c r="D32" s="132" t="s">
        <v>396</v>
      </c>
      <c r="E32" s="215">
        <v>521</v>
      </c>
      <c r="F32" s="237">
        <v>497</v>
      </c>
      <c r="G32" s="216">
        <f t="shared" ref="G32:G44" si="7">F32/E32</f>
        <v>0.95393474088291752</v>
      </c>
      <c r="H32" s="215">
        <f t="shared" ref="H32:H44" si="8">(E32-F32)*G32</f>
        <v>22.89443378119002</v>
      </c>
      <c r="I32" s="215">
        <f t="shared" ref="I32:I44" ca="1" si="9">H32/(C32-(IF(B32&gt;TODAY(),B32,TODAY())))</f>
        <v>1.09021113243762</v>
      </c>
      <c r="J32" s="215">
        <f ca="1">ROUND(I32/1,0)</f>
        <v>1</v>
      </c>
      <c r="K32" s="223">
        <v>4</v>
      </c>
      <c r="L32" s="223"/>
    </row>
    <row r="33" spans="1:12" s="1" customFormat="1" ht="18.5" x14ac:dyDescent="0.35">
      <c r="A33" s="224" t="s">
        <v>9</v>
      </c>
      <c r="B33" s="214">
        <f>B32+4</f>
        <v>46303</v>
      </c>
      <c r="C33" s="214">
        <f>C32+8</f>
        <v>46333</v>
      </c>
      <c r="D33" s="132" t="s">
        <v>396</v>
      </c>
      <c r="E33" s="215">
        <v>825</v>
      </c>
      <c r="F33" s="223">
        <v>396</v>
      </c>
      <c r="G33" s="216">
        <f t="shared" si="7"/>
        <v>0.48</v>
      </c>
      <c r="H33" s="215">
        <f t="shared" si="8"/>
        <v>205.92</v>
      </c>
      <c r="I33" s="215">
        <f t="shared" ca="1" si="9"/>
        <v>7.1006896551724132</v>
      </c>
      <c r="J33" s="215">
        <f ca="1">ROUND(I33/10,0)</f>
        <v>1</v>
      </c>
      <c r="K33" s="223">
        <v>5</v>
      </c>
      <c r="L33" s="223"/>
    </row>
    <row r="34" spans="1:12" s="1" customFormat="1" ht="18.5" x14ac:dyDescent="0.35">
      <c r="A34" s="224" t="s">
        <v>399</v>
      </c>
      <c r="B34" s="214">
        <v>46320</v>
      </c>
      <c r="C34" s="214">
        <v>46348</v>
      </c>
      <c r="D34" s="132" t="s">
        <v>396</v>
      </c>
      <c r="E34" s="215">
        <v>285</v>
      </c>
      <c r="F34" s="237">
        <v>0</v>
      </c>
      <c r="G34" s="216">
        <f t="shared" si="7"/>
        <v>0</v>
      </c>
      <c r="H34" s="215">
        <f t="shared" si="8"/>
        <v>0</v>
      </c>
      <c r="I34" s="215">
        <f t="shared" ca="1" si="9"/>
        <v>0</v>
      </c>
      <c r="J34" s="215">
        <f ca="1">ROUND(I34/12,0)</f>
        <v>0</v>
      </c>
      <c r="K34" s="223"/>
      <c r="L34" s="223"/>
    </row>
    <row r="35" spans="1:12" s="1" customFormat="1" ht="18.5" x14ac:dyDescent="0.35">
      <c r="A35" s="224" t="s">
        <v>400</v>
      </c>
      <c r="B35" s="214">
        <f>B34+3</f>
        <v>46323</v>
      </c>
      <c r="C35" s="214">
        <f>C34+3</f>
        <v>46351</v>
      </c>
      <c r="D35" s="132" t="s">
        <v>396</v>
      </c>
      <c r="E35" s="215">
        <f>E34</f>
        <v>285</v>
      </c>
      <c r="F35" s="237">
        <v>0</v>
      </c>
      <c r="G35" s="216">
        <f t="shared" si="7"/>
        <v>0</v>
      </c>
      <c r="H35" s="215">
        <f t="shared" si="8"/>
        <v>0</v>
      </c>
      <c r="I35" s="215">
        <f t="shared" ca="1" si="9"/>
        <v>0</v>
      </c>
      <c r="J35" s="215">
        <f ca="1">ROUND(I35/10,0)</f>
        <v>0</v>
      </c>
      <c r="K35" s="223"/>
      <c r="L35" s="223"/>
    </row>
    <row r="36" spans="1:12" s="1" customFormat="1" ht="18.5" x14ac:dyDescent="0.35">
      <c r="A36" s="224" t="s">
        <v>401</v>
      </c>
      <c r="B36" s="214">
        <v>46311</v>
      </c>
      <c r="C36" s="214">
        <f>C35+6</f>
        <v>46357</v>
      </c>
      <c r="D36" s="132" t="s">
        <v>396</v>
      </c>
      <c r="E36" s="215">
        <v>312</v>
      </c>
      <c r="F36" s="237">
        <v>0</v>
      </c>
      <c r="G36" s="216">
        <f t="shared" si="7"/>
        <v>0</v>
      </c>
      <c r="H36" s="215">
        <f t="shared" si="8"/>
        <v>0</v>
      </c>
      <c r="I36" s="215">
        <f t="shared" ca="1" si="9"/>
        <v>0</v>
      </c>
      <c r="J36" s="215">
        <f ca="1">ROUND(I36/5,0)</f>
        <v>0</v>
      </c>
      <c r="K36" s="223"/>
      <c r="L36" s="223"/>
    </row>
    <row r="37" spans="1:12" s="1" customFormat="1" ht="18.5" x14ac:dyDescent="0.35">
      <c r="A37" s="224" t="s">
        <v>402</v>
      </c>
      <c r="B37" s="214">
        <f>C36+1</f>
        <v>46358</v>
      </c>
      <c r="C37" s="214">
        <f>B37+3</f>
        <v>46361</v>
      </c>
      <c r="D37" s="132" t="s">
        <v>396</v>
      </c>
      <c r="E37" s="215">
        <v>456</v>
      </c>
      <c r="F37" s="237">
        <v>0</v>
      </c>
      <c r="G37" s="216">
        <f t="shared" si="7"/>
        <v>0</v>
      </c>
      <c r="H37" s="215">
        <f t="shared" si="8"/>
        <v>0</v>
      </c>
      <c r="I37" s="215">
        <f t="shared" ca="1" si="9"/>
        <v>0</v>
      </c>
      <c r="J37" s="215">
        <f ca="1">ROUND(I37/10,0)</f>
        <v>0</v>
      </c>
      <c r="K37" s="223"/>
      <c r="L37" s="223"/>
    </row>
    <row r="38" spans="1:12" s="1" customFormat="1" ht="18.5" x14ac:dyDescent="0.35">
      <c r="A38" s="131" t="s">
        <v>23</v>
      </c>
      <c r="B38" s="214"/>
      <c r="C38" s="214"/>
      <c r="D38" s="132"/>
      <c r="E38" s="215"/>
      <c r="F38" s="241"/>
      <c r="G38" s="216"/>
      <c r="H38" s="215"/>
      <c r="I38" s="215"/>
      <c r="J38" s="215"/>
      <c r="K38" s="223"/>
      <c r="L38" s="223"/>
    </row>
    <row r="39" spans="1:12" s="1" customFormat="1" ht="18.5" x14ac:dyDescent="0.35">
      <c r="A39" s="224" t="s">
        <v>8</v>
      </c>
      <c r="B39" s="214">
        <v>46310</v>
      </c>
      <c r="C39" s="214">
        <v>46331</v>
      </c>
      <c r="D39" s="132" t="s">
        <v>396</v>
      </c>
      <c r="E39" s="215">
        <f>51/0.115</f>
        <v>443.47826086956519</v>
      </c>
      <c r="F39" s="223">
        <v>425.73913043478257</v>
      </c>
      <c r="G39" s="216">
        <f t="shared" si="7"/>
        <v>0.96</v>
      </c>
      <c r="H39" s="215">
        <f t="shared" si="8"/>
        <v>17.029565217391319</v>
      </c>
      <c r="I39" s="215">
        <f t="shared" ca="1" si="9"/>
        <v>0.81093167701863422</v>
      </c>
      <c r="J39" s="215">
        <f ca="1">ROUND(I39/1,0)</f>
        <v>1</v>
      </c>
      <c r="K39" s="223"/>
      <c r="L39" s="223" t="s">
        <v>418</v>
      </c>
    </row>
    <row r="40" spans="1:12" s="1" customFormat="1" ht="18.5" x14ac:dyDescent="0.35">
      <c r="A40" s="224" t="s">
        <v>9</v>
      </c>
      <c r="B40" s="214">
        <f>C39+1</f>
        <v>46332</v>
      </c>
      <c r="C40" s="214">
        <f>C39+10</f>
        <v>46341</v>
      </c>
      <c r="D40" s="132" t="s">
        <v>396</v>
      </c>
      <c r="E40" s="215">
        <v>780</v>
      </c>
      <c r="F40" s="237">
        <v>0</v>
      </c>
      <c r="G40" s="216">
        <f t="shared" si="7"/>
        <v>0</v>
      </c>
      <c r="H40" s="215">
        <f t="shared" si="8"/>
        <v>0</v>
      </c>
      <c r="I40" s="215">
        <f t="shared" ca="1" si="9"/>
        <v>0</v>
      </c>
      <c r="J40" s="215">
        <f ca="1">ROUND(I40/10,0)</f>
        <v>0</v>
      </c>
      <c r="K40" s="223"/>
      <c r="L40" s="223"/>
    </row>
    <row r="41" spans="1:12" s="1" customFormat="1" ht="18.5" x14ac:dyDescent="0.35">
      <c r="A41" s="224" t="s">
        <v>399</v>
      </c>
      <c r="B41" s="214">
        <v>46331</v>
      </c>
      <c r="C41" s="214">
        <v>46348</v>
      </c>
      <c r="D41" s="132" t="s">
        <v>396</v>
      </c>
      <c r="E41" s="215">
        <v>215</v>
      </c>
      <c r="F41" s="237">
        <v>0</v>
      </c>
      <c r="G41" s="216">
        <f t="shared" si="7"/>
        <v>0</v>
      </c>
      <c r="H41" s="215">
        <f t="shared" si="8"/>
        <v>0</v>
      </c>
      <c r="I41" s="215">
        <f t="shared" ca="1" si="9"/>
        <v>0</v>
      </c>
      <c r="J41" s="215">
        <f ca="1">ROUND(I41/12,0)</f>
        <v>0</v>
      </c>
      <c r="K41" s="223"/>
      <c r="L41" s="223"/>
    </row>
    <row r="42" spans="1:12" s="1" customFormat="1" ht="18.5" x14ac:dyDescent="0.35">
      <c r="A42" s="224" t="s">
        <v>400</v>
      </c>
      <c r="B42" s="214">
        <f>B41+3</f>
        <v>46334</v>
      </c>
      <c r="C42" s="214">
        <f>C41+7</f>
        <v>46355</v>
      </c>
      <c r="D42" s="132" t="s">
        <v>396</v>
      </c>
      <c r="E42" s="215">
        <v>215</v>
      </c>
      <c r="F42" s="237">
        <v>0</v>
      </c>
      <c r="G42" s="216">
        <f t="shared" si="7"/>
        <v>0</v>
      </c>
      <c r="H42" s="215">
        <f t="shared" si="8"/>
        <v>0</v>
      </c>
      <c r="I42" s="215">
        <f t="shared" ca="1" si="9"/>
        <v>0</v>
      </c>
      <c r="J42" s="215">
        <f ca="1">ROUND(I42/10,0)</f>
        <v>0</v>
      </c>
      <c r="K42" s="223"/>
      <c r="L42" s="223"/>
    </row>
    <row r="43" spans="1:12" s="1" customFormat="1" ht="18.5" x14ac:dyDescent="0.35">
      <c r="A43" s="224" t="s">
        <v>401</v>
      </c>
      <c r="B43" s="214">
        <v>46342</v>
      </c>
      <c r="C43" s="214">
        <f>C42+10</f>
        <v>46365</v>
      </c>
      <c r="D43" s="132" t="s">
        <v>396</v>
      </c>
      <c r="E43" s="215">
        <f>16*2.05*8.4</f>
        <v>275.52</v>
      </c>
      <c r="F43" s="237">
        <v>0</v>
      </c>
      <c r="G43" s="216">
        <f t="shared" si="7"/>
        <v>0</v>
      </c>
      <c r="H43" s="215">
        <f t="shared" si="8"/>
        <v>0</v>
      </c>
      <c r="I43" s="215">
        <f t="shared" ca="1" si="9"/>
        <v>0</v>
      </c>
      <c r="J43" s="215">
        <f ca="1">ROUND(I43/5,0)</f>
        <v>0</v>
      </c>
      <c r="K43" s="223"/>
      <c r="L43" s="223"/>
    </row>
    <row r="44" spans="1:12" s="1" customFormat="1" ht="18.5" x14ac:dyDescent="0.35">
      <c r="A44" s="224" t="s">
        <v>402</v>
      </c>
      <c r="B44" s="214">
        <f>C43+1</f>
        <v>46366</v>
      </c>
      <c r="C44" s="214">
        <f>B44+5</f>
        <v>46371</v>
      </c>
      <c r="D44" s="132" t="s">
        <v>396</v>
      </c>
      <c r="E44" s="215">
        <v>435</v>
      </c>
      <c r="F44" s="237">
        <v>0</v>
      </c>
      <c r="G44" s="216">
        <f t="shared" si="7"/>
        <v>0</v>
      </c>
      <c r="H44" s="215">
        <f t="shared" si="8"/>
        <v>0</v>
      </c>
      <c r="I44" s="215">
        <f t="shared" ca="1" si="9"/>
        <v>0</v>
      </c>
      <c r="J44" s="215">
        <f ca="1">ROUND(I44/10,0)</f>
        <v>0</v>
      </c>
      <c r="K44" s="223"/>
      <c r="L44" s="223"/>
    </row>
    <row r="45" spans="1:12" s="236" customFormat="1" ht="23.5" x14ac:dyDescent="0.55000000000000004">
      <c r="A45" s="162" t="s">
        <v>317</v>
      </c>
      <c r="B45" s="234"/>
      <c r="C45" s="234"/>
      <c r="D45" s="163"/>
      <c r="E45" s="232"/>
      <c r="F45" s="233"/>
      <c r="G45" s="233"/>
      <c r="H45" s="232"/>
      <c r="I45" s="232"/>
      <c r="J45" s="232"/>
      <c r="K45" s="232"/>
      <c r="L45" s="232"/>
    </row>
    <row r="46" spans="1:12" s="236" customFormat="1" ht="23.5" x14ac:dyDescent="0.55000000000000004">
      <c r="A46" s="162" t="s">
        <v>318</v>
      </c>
      <c r="B46" s="234"/>
      <c r="C46" s="234"/>
      <c r="D46" s="163"/>
      <c r="E46" s="232"/>
      <c r="F46" s="233"/>
      <c r="G46" s="233"/>
      <c r="H46" s="232"/>
      <c r="I46" s="232"/>
      <c r="J46" s="232"/>
      <c r="K46" s="232"/>
      <c r="L46" s="232"/>
    </row>
    <row r="47" spans="1:12" s="1" customFormat="1" ht="18.5" x14ac:dyDescent="0.35">
      <c r="A47" s="131" t="s">
        <v>34</v>
      </c>
      <c r="B47" s="214">
        <v>46093</v>
      </c>
      <c r="C47" s="214">
        <v>46315</v>
      </c>
      <c r="D47" s="225" t="s">
        <v>398</v>
      </c>
      <c r="E47" s="215">
        <v>1500</v>
      </c>
      <c r="F47" s="215">
        <v>1451</v>
      </c>
      <c r="G47" s="216">
        <f t="shared" ref="G47:G53" si="10">F47/E47</f>
        <v>0.96733333333333338</v>
      </c>
      <c r="H47" s="215">
        <f t="shared" ref="H47:H53" si="11">(E47-F47)*G47</f>
        <v>47.399333333333338</v>
      </c>
      <c r="I47" s="215">
        <f t="shared" ref="I47:I53" ca="1" si="12">H47/(C47-(IF(B47&gt;TODAY(),B47,TODAY())))</f>
        <v>4.3090303030303039</v>
      </c>
      <c r="J47" s="223">
        <f ca="1">ROUND(I47/4,0)</f>
        <v>1</v>
      </c>
      <c r="K47" s="223">
        <v>2</v>
      </c>
      <c r="L47" s="223"/>
    </row>
    <row r="48" spans="1:12" s="1" customFormat="1" ht="18.5" x14ac:dyDescent="0.35">
      <c r="A48" s="131" t="s">
        <v>349</v>
      </c>
      <c r="B48" s="214">
        <v>46050</v>
      </c>
      <c r="C48" s="214">
        <v>46326</v>
      </c>
      <c r="D48" s="225" t="s">
        <v>398</v>
      </c>
      <c r="E48" s="215">
        <f>9830+3200</f>
        <v>13030</v>
      </c>
      <c r="F48" s="215">
        <v>10956</v>
      </c>
      <c r="G48" s="216">
        <f t="shared" si="10"/>
        <v>0.84082885648503458</v>
      </c>
      <c r="H48" s="215">
        <f t="shared" si="11"/>
        <v>1743.8790483499617</v>
      </c>
      <c r="I48" s="215">
        <f t="shared" ca="1" si="12"/>
        <v>79.267229470452804</v>
      </c>
      <c r="J48" s="223">
        <f ca="1">ROUND(I48/12,0)</f>
        <v>7</v>
      </c>
      <c r="K48" s="223">
        <v>4</v>
      </c>
      <c r="L48" s="223"/>
    </row>
    <row r="49" spans="1:12" s="1" customFormat="1" ht="18.5" x14ac:dyDescent="0.35">
      <c r="A49" s="131" t="s">
        <v>39</v>
      </c>
      <c r="B49" s="214">
        <v>46002</v>
      </c>
      <c r="C49" s="214">
        <v>46322</v>
      </c>
      <c r="D49" s="225" t="s">
        <v>396</v>
      </c>
      <c r="E49" s="215">
        <f>7203</f>
        <v>7203</v>
      </c>
      <c r="F49" s="215">
        <v>6880</v>
      </c>
      <c r="G49" s="216">
        <f t="shared" si="10"/>
        <v>0.95515757323337502</v>
      </c>
      <c r="H49" s="215">
        <f t="shared" si="11"/>
        <v>308.51589615438013</v>
      </c>
      <c r="I49" s="215">
        <f t="shared" ca="1" si="12"/>
        <v>17.139772008576674</v>
      </c>
      <c r="J49" s="223">
        <f ca="1">ROUND(I49/10,0)</f>
        <v>2</v>
      </c>
      <c r="K49" s="223">
        <v>4</v>
      </c>
      <c r="L49" s="223"/>
    </row>
    <row r="50" spans="1:12" s="1" customFormat="1" ht="18.5" x14ac:dyDescent="0.35">
      <c r="A50" s="131" t="s">
        <v>296</v>
      </c>
      <c r="B50" s="214">
        <v>46032</v>
      </c>
      <c r="C50" s="214">
        <v>46320</v>
      </c>
      <c r="D50" s="225" t="s">
        <v>396</v>
      </c>
      <c r="E50" s="215">
        <v>9363</v>
      </c>
      <c r="F50" s="215">
        <v>8880</v>
      </c>
      <c r="G50" s="216">
        <f t="shared" si="10"/>
        <v>0.94841396988144822</v>
      </c>
      <c r="H50" s="215">
        <f t="shared" si="11"/>
        <v>458.08394745273949</v>
      </c>
      <c r="I50" s="215">
        <f t="shared" ca="1" si="12"/>
        <v>28.630246715796218</v>
      </c>
      <c r="J50" s="223">
        <f ca="1">ROUND(I50/12,0)</f>
        <v>2</v>
      </c>
      <c r="K50" s="223">
        <v>6</v>
      </c>
      <c r="L50" s="223"/>
    </row>
    <row r="51" spans="1:12" s="1" customFormat="1" ht="18.5" x14ac:dyDescent="0.35">
      <c r="A51" s="131" t="s">
        <v>319</v>
      </c>
      <c r="B51" s="214">
        <v>46275</v>
      </c>
      <c r="C51" s="214">
        <v>46351</v>
      </c>
      <c r="D51" s="225" t="s">
        <v>398</v>
      </c>
      <c r="E51" s="215">
        <f>890+1480+1598+1190</f>
        <v>5158</v>
      </c>
      <c r="F51" s="215">
        <v>421</v>
      </c>
      <c r="G51" s="216">
        <f t="shared" si="10"/>
        <v>8.1620783249321441E-2</v>
      </c>
      <c r="H51" s="215">
        <f t="shared" si="11"/>
        <v>386.63765025203566</v>
      </c>
      <c r="I51" s="215">
        <f t="shared" ca="1" si="12"/>
        <v>8.2263329840858646</v>
      </c>
      <c r="J51" s="223">
        <f ca="1">ROUND(I51/9,0)</f>
        <v>1</v>
      </c>
      <c r="K51" s="223">
        <v>0</v>
      </c>
      <c r="L51" s="223"/>
    </row>
    <row r="52" spans="1:12" s="1" customFormat="1" ht="18.5" x14ac:dyDescent="0.35">
      <c r="A52" s="131" t="s">
        <v>297</v>
      </c>
      <c r="B52" s="214">
        <v>46275</v>
      </c>
      <c r="C52" s="214">
        <v>46341</v>
      </c>
      <c r="D52" s="225" t="s">
        <v>398</v>
      </c>
      <c r="E52" s="215">
        <v>630</v>
      </c>
      <c r="F52" s="215">
        <v>466.2</v>
      </c>
      <c r="G52" s="216">
        <f t="shared" si="10"/>
        <v>0.74</v>
      </c>
      <c r="H52" s="215">
        <f t="shared" si="11"/>
        <v>121.212</v>
      </c>
      <c r="I52" s="215">
        <f t="shared" ca="1" si="12"/>
        <v>3.2760000000000002</v>
      </c>
      <c r="J52" s="223">
        <f ca="1">ROUND(I52/9,0)</f>
        <v>0</v>
      </c>
      <c r="K52" s="223">
        <v>2</v>
      </c>
      <c r="L52" s="223"/>
    </row>
    <row r="53" spans="1:12" s="1" customFormat="1" ht="18.5" x14ac:dyDescent="0.35">
      <c r="A53" s="131" t="s">
        <v>303</v>
      </c>
      <c r="B53" s="214">
        <v>46295</v>
      </c>
      <c r="C53" s="214">
        <v>46323</v>
      </c>
      <c r="D53" s="225" t="s">
        <v>396</v>
      </c>
      <c r="E53" s="215">
        <v>3426</v>
      </c>
      <c r="F53" s="215">
        <v>685.2</v>
      </c>
      <c r="G53" s="216">
        <f t="shared" si="10"/>
        <v>0.2</v>
      </c>
      <c r="H53" s="215">
        <f t="shared" si="11"/>
        <v>548.16000000000008</v>
      </c>
      <c r="I53" s="215">
        <f t="shared" ca="1" si="12"/>
        <v>28.850526315789477</v>
      </c>
      <c r="J53" s="223">
        <f ca="1">ROUND(I53/10,0)</f>
        <v>3</v>
      </c>
      <c r="K53" s="223">
        <v>6</v>
      </c>
      <c r="L53" s="223"/>
    </row>
    <row r="54" spans="1:12" s="236" customFormat="1" ht="23.5" x14ac:dyDescent="0.55000000000000004">
      <c r="A54" s="162" t="s">
        <v>85</v>
      </c>
      <c r="B54" s="234"/>
      <c r="C54" s="234"/>
      <c r="D54" s="163"/>
      <c r="E54" s="232"/>
      <c r="F54" s="233"/>
      <c r="G54" s="233"/>
      <c r="H54" s="232"/>
      <c r="I54" s="232"/>
      <c r="J54" s="232"/>
      <c r="K54" s="232"/>
      <c r="L54" s="232"/>
    </row>
    <row r="55" spans="1:12" s="1" customFormat="1" ht="18.5" x14ac:dyDescent="0.35">
      <c r="A55" s="131" t="s">
        <v>46</v>
      </c>
      <c r="B55" s="214">
        <v>46252</v>
      </c>
      <c r="C55" s="214">
        <v>46346</v>
      </c>
      <c r="D55" s="225" t="s">
        <v>398</v>
      </c>
      <c r="E55" s="215">
        <v>46027</v>
      </c>
      <c r="F55" s="215">
        <v>23692.959999999999</v>
      </c>
      <c r="G55" s="216">
        <f t="shared" ref="G55:G65" si="13">F55/E55</f>
        <v>0.51476220479283896</v>
      </c>
      <c r="H55" s="215">
        <f t="shared" ref="H55:H65" si="14">(E55-F55)*G55</f>
        <v>11496.719672331457</v>
      </c>
      <c r="I55" s="215">
        <f t="shared" ref="I55:I65" ca="1" si="15">H55/(C55-(IF(B55&gt;TODAY(),B55,TODAY())))</f>
        <v>273.73142076979661</v>
      </c>
      <c r="J55" s="223">
        <f ca="1">ROUND(I55/25,0)</f>
        <v>11</v>
      </c>
      <c r="K55" s="223">
        <v>16</v>
      </c>
      <c r="L55" s="223"/>
    </row>
    <row r="56" spans="1:12" s="1" customFormat="1" ht="18.5" x14ac:dyDescent="0.35">
      <c r="A56" s="131" t="s">
        <v>320</v>
      </c>
      <c r="B56" s="214">
        <v>46213</v>
      </c>
      <c r="C56" s="214">
        <v>46354</v>
      </c>
      <c r="D56" s="225" t="s">
        <v>398</v>
      </c>
      <c r="E56" s="215">
        <v>16308</v>
      </c>
      <c r="F56" s="215">
        <v>8643.2400000000016</v>
      </c>
      <c r="G56" s="216">
        <f t="shared" si="13"/>
        <v>0.53000000000000014</v>
      </c>
      <c r="H56" s="215">
        <f t="shared" si="14"/>
        <v>4062.3228000000004</v>
      </c>
      <c r="I56" s="215">
        <f t="shared" ca="1" si="15"/>
        <v>81.246456000000009</v>
      </c>
      <c r="J56" s="223">
        <f ca="1">ROUND(I56/25,0)</f>
        <v>3</v>
      </c>
      <c r="K56" s="223">
        <v>4</v>
      </c>
      <c r="L56" s="223"/>
    </row>
    <row r="57" spans="1:12" s="1" customFormat="1" ht="18.5" x14ac:dyDescent="0.35">
      <c r="A57" s="131" t="s">
        <v>48</v>
      </c>
      <c r="B57" s="214">
        <v>46300</v>
      </c>
      <c r="C57" s="214">
        <v>46326</v>
      </c>
      <c r="D57" s="225" t="s">
        <v>397</v>
      </c>
      <c r="E57" s="215">
        <v>4</v>
      </c>
      <c r="F57" s="215">
        <v>3.6</v>
      </c>
      <c r="G57" s="216">
        <f t="shared" si="13"/>
        <v>0.9</v>
      </c>
      <c r="H57" s="215">
        <f t="shared" si="14"/>
        <v>0.35999999999999993</v>
      </c>
      <c r="I57" s="215">
        <f t="shared" ca="1" si="15"/>
        <v>1.6363636363636361E-2</v>
      </c>
      <c r="J57" s="223">
        <f ca="1">ROUND(I57/2,0)</f>
        <v>0</v>
      </c>
      <c r="K57" s="223">
        <v>0</v>
      </c>
      <c r="L57" s="223"/>
    </row>
    <row r="58" spans="1:12" s="1" customFormat="1" ht="18.5" x14ac:dyDescent="0.35">
      <c r="A58" s="131" t="s">
        <v>323</v>
      </c>
      <c r="B58" s="214">
        <v>46313</v>
      </c>
      <c r="C58" s="214">
        <v>46366</v>
      </c>
      <c r="D58" s="225" t="s">
        <v>397</v>
      </c>
      <c r="E58" s="215">
        <v>1517</v>
      </c>
      <c r="F58" s="215">
        <v>174</v>
      </c>
      <c r="G58" s="216">
        <f t="shared" si="13"/>
        <v>0.11470006591957811</v>
      </c>
      <c r="H58" s="215">
        <f t="shared" si="14"/>
        <v>154.04218852999341</v>
      </c>
      <c r="I58" s="215">
        <f t="shared" ca="1" si="15"/>
        <v>2.9064563873583662</v>
      </c>
      <c r="J58" s="223">
        <f ca="1">ROUND(I58/12,0)</f>
        <v>0</v>
      </c>
      <c r="K58" s="223">
        <v>0</v>
      </c>
      <c r="L58" s="223"/>
    </row>
    <row r="59" spans="1:12" s="1" customFormat="1" ht="18.5" x14ac:dyDescent="0.35">
      <c r="A59" s="131" t="s">
        <v>298</v>
      </c>
      <c r="B59" s="214">
        <v>46244</v>
      </c>
      <c r="C59" s="214">
        <v>46336</v>
      </c>
      <c r="D59" s="225" t="s">
        <v>398</v>
      </c>
      <c r="E59" s="215">
        <v>2800</v>
      </c>
      <c r="F59" s="215">
        <v>2735</v>
      </c>
      <c r="G59" s="216">
        <f t="shared" si="13"/>
        <v>0.97678571428571426</v>
      </c>
      <c r="H59" s="215">
        <f t="shared" si="14"/>
        <v>63.491071428571423</v>
      </c>
      <c r="I59" s="215">
        <f t="shared" ca="1" si="15"/>
        <v>1.984095982142857</v>
      </c>
      <c r="J59" s="223">
        <f ca="1">ROUND(I59/5,0)</f>
        <v>0</v>
      </c>
      <c r="K59" s="223">
        <v>0</v>
      </c>
      <c r="L59" s="223"/>
    </row>
    <row r="60" spans="1:12" s="1" customFormat="1" ht="18.5" x14ac:dyDescent="0.35">
      <c r="A60" s="217" t="s">
        <v>53</v>
      </c>
      <c r="B60" s="214">
        <v>46253</v>
      </c>
      <c r="C60" s="214">
        <v>46354</v>
      </c>
      <c r="D60" s="225" t="s">
        <v>397</v>
      </c>
      <c r="E60" s="215">
        <v>45</v>
      </c>
      <c r="F60" s="215">
        <v>43</v>
      </c>
      <c r="G60" s="216">
        <f t="shared" si="13"/>
        <v>0.9555555555555556</v>
      </c>
      <c r="H60" s="215">
        <f t="shared" si="14"/>
        <v>1.9111111111111112</v>
      </c>
      <c r="I60" s="215">
        <f t="shared" ca="1" si="15"/>
        <v>3.8222222222222227E-2</v>
      </c>
      <c r="J60" s="223">
        <f t="shared" ref="J60:J65" ca="1" si="16">ROUND(I60/3,0)</f>
        <v>0</v>
      </c>
      <c r="K60" s="223">
        <v>4</v>
      </c>
      <c r="L60" s="223"/>
    </row>
    <row r="61" spans="1:12" s="1" customFormat="1" ht="18.5" x14ac:dyDescent="0.35">
      <c r="A61" s="131" t="s">
        <v>56</v>
      </c>
      <c r="B61" s="214">
        <v>46244</v>
      </c>
      <c r="C61" s="214">
        <f>VLOOKUP(A61,[3]OPD!$B$54:$D$76,3,FALSE)</f>
        <v>46341</v>
      </c>
      <c r="D61" s="225" t="s">
        <v>398</v>
      </c>
      <c r="E61" s="215">
        <v>65000</v>
      </c>
      <c r="F61" s="215">
        <v>20795</v>
      </c>
      <c r="G61" s="216">
        <f t="shared" si="13"/>
        <v>0.31992307692307692</v>
      </c>
      <c r="H61" s="215">
        <f t="shared" si="14"/>
        <v>14142.199615384616</v>
      </c>
      <c r="I61" s="215">
        <f t="shared" ca="1" si="15"/>
        <v>382.22161122661123</v>
      </c>
      <c r="J61" s="223">
        <f ca="1">ROUND(I61/60,0)</f>
        <v>6</v>
      </c>
      <c r="K61" s="223">
        <v>8</v>
      </c>
      <c r="L61" s="223"/>
    </row>
    <row r="62" spans="1:12" s="1" customFormat="1" ht="18.5" x14ac:dyDescent="0.35">
      <c r="A62" s="131" t="s">
        <v>57</v>
      </c>
      <c r="B62" s="214">
        <v>46221</v>
      </c>
      <c r="C62" s="214">
        <v>46341</v>
      </c>
      <c r="D62" s="225" t="s">
        <v>398</v>
      </c>
      <c r="E62" s="215">
        <v>24107</v>
      </c>
      <c r="F62" s="215">
        <v>18928</v>
      </c>
      <c r="G62" s="216">
        <f t="shared" si="13"/>
        <v>0.785166134317833</v>
      </c>
      <c r="H62" s="215">
        <f t="shared" si="14"/>
        <v>4066.3754096320572</v>
      </c>
      <c r="I62" s="215">
        <f t="shared" ca="1" si="15"/>
        <v>109.90203809816371</v>
      </c>
      <c r="J62" s="223">
        <f ca="1">ROUND(I62/60,0)</f>
        <v>2</v>
      </c>
      <c r="K62" s="223">
        <v>4</v>
      </c>
      <c r="L62" s="223"/>
    </row>
    <row r="63" spans="1:12" s="1" customFormat="1" ht="18.5" x14ac:dyDescent="0.35">
      <c r="A63" s="131" t="s">
        <v>58</v>
      </c>
      <c r="B63" s="214">
        <v>46294</v>
      </c>
      <c r="C63" s="214">
        <v>46310</v>
      </c>
      <c r="D63" s="225" t="s">
        <v>397</v>
      </c>
      <c r="E63" s="215">
        <v>1</v>
      </c>
      <c r="F63" s="215">
        <v>0</v>
      </c>
      <c r="G63" s="216">
        <f t="shared" si="13"/>
        <v>0</v>
      </c>
      <c r="H63" s="215">
        <f t="shared" si="14"/>
        <v>0</v>
      </c>
      <c r="I63" s="215">
        <f t="shared" ca="1" si="15"/>
        <v>0</v>
      </c>
      <c r="J63" s="223">
        <f t="shared" ca="1" si="16"/>
        <v>0</v>
      </c>
      <c r="K63" s="223">
        <v>0</v>
      </c>
      <c r="L63" s="223"/>
    </row>
    <row r="64" spans="1:12" s="1" customFormat="1" ht="18.5" x14ac:dyDescent="0.35">
      <c r="A64" s="131" t="s">
        <v>325</v>
      </c>
      <c r="B64" s="214">
        <v>46294</v>
      </c>
      <c r="C64" s="214">
        <v>46346</v>
      </c>
      <c r="D64" s="225" t="s">
        <v>397</v>
      </c>
      <c r="E64" s="215">
        <v>12</v>
      </c>
      <c r="F64" s="215">
        <v>6</v>
      </c>
      <c r="G64" s="216">
        <f t="shared" si="13"/>
        <v>0.5</v>
      </c>
      <c r="H64" s="215">
        <f t="shared" si="14"/>
        <v>3</v>
      </c>
      <c r="I64" s="215">
        <f t="shared" ca="1" si="15"/>
        <v>7.1428571428571425E-2</v>
      </c>
      <c r="J64" s="223">
        <f t="shared" ca="1" si="16"/>
        <v>0</v>
      </c>
      <c r="K64" s="223">
        <v>4</v>
      </c>
      <c r="L64" s="223"/>
    </row>
    <row r="65" spans="1:12" s="1" customFormat="1" ht="18.5" x14ac:dyDescent="0.35">
      <c r="A65" s="131" t="s">
        <v>327</v>
      </c>
      <c r="B65" s="214">
        <v>46346</v>
      </c>
      <c r="C65" s="214">
        <v>46376</v>
      </c>
      <c r="D65" s="225" t="s">
        <v>404</v>
      </c>
      <c r="E65" s="215">
        <v>1</v>
      </c>
      <c r="F65" s="215">
        <v>0.05</v>
      </c>
      <c r="G65" s="216">
        <f t="shared" si="13"/>
        <v>0.05</v>
      </c>
      <c r="H65" s="215">
        <f t="shared" si="14"/>
        <v>4.7500000000000001E-2</v>
      </c>
      <c r="I65" s="215">
        <f t="shared" ca="1" si="15"/>
        <v>1.5833333333333333E-3</v>
      </c>
      <c r="J65" s="223">
        <f t="shared" ca="1" si="16"/>
        <v>0</v>
      </c>
      <c r="K65" s="223">
        <v>0</v>
      </c>
      <c r="L65" s="223"/>
    </row>
    <row r="66" spans="1:12" s="1" customFormat="1" ht="23" x14ac:dyDescent="0.35">
      <c r="A66" s="4" t="s">
        <v>90</v>
      </c>
      <c r="B66" s="211"/>
      <c r="C66" s="211"/>
      <c r="D66" s="5"/>
      <c r="E66" s="212"/>
      <c r="F66" s="213"/>
      <c r="G66" s="213"/>
      <c r="H66" s="212"/>
      <c r="I66" s="212"/>
      <c r="J66" s="212"/>
      <c r="K66" s="212"/>
      <c r="L66" s="212"/>
    </row>
    <row r="67" spans="1:12" s="1" customFormat="1" ht="18.5" x14ac:dyDescent="0.35">
      <c r="A67" s="131" t="s">
        <v>91</v>
      </c>
      <c r="B67" s="214">
        <v>46305</v>
      </c>
      <c r="C67" s="214">
        <v>46341</v>
      </c>
      <c r="D67" s="225" t="s">
        <v>405</v>
      </c>
      <c r="E67" s="215">
        <v>2250</v>
      </c>
      <c r="F67" s="223">
        <v>202.5</v>
      </c>
      <c r="G67" s="216">
        <f t="shared" ref="G67:G71" si="17">F67/E67</f>
        <v>0.09</v>
      </c>
      <c r="H67" s="215">
        <f t="shared" ref="H67:H71" si="18">(E67-F67)*G67</f>
        <v>184.27500000000001</v>
      </c>
      <c r="I67" s="215">
        <f t="shared" ref="I67:I71" ca="1" si="19">H67/(C67-(IF(B67&gt;TODAY(),B67,TODAY())))</f>
        <v>5.1187500000000004</v>
      </c>
      <c r="J67" s="223">
        <f ca="1">ROUND(I67/10,0)</f>
        <v>1</v>
      </c>
      <c r="K67" s="223">
        <v>7</v>
      </c>
      <c r="L67" s="223"/>
    </row>
    <row r="68" spans="1:12" s="1" customFormat="1" ht="18.5" x14ac:dyDescent="0.35">
      <c r="A68" s="131" t="s">
        <v>93</v>
      </c>
      <c r="B68" s="214">
        <v>46331</v>
      </c>
      <c r="C68" s="214">
        <v>46366</v>
      </c>
      <c r="D68" s="225" t="s">
        <v>397</v>
      </c>
      <c r="E68" s="215">
        <v>128</v>
      </c>
      <c r="F68" s="237">
        <v>0</v>
      </c>
      <c r="G68" s="216">
        <f t="shared" si="17"/>
        <v>0</v>
      </c>
      <c r="H68" s="215">
        <f t="shared" si="18"/>
        <v>0</v>
      </c>
      <c r="I68" s="215">
        <f t="shared" ca="1" si="19"/>
        <v>0</v>
      </c>
      <c r="J68" s="223">
        <f t="shared" ref="J68:J70" ca="1" si="20">ROUND(I68/3,0)</f>
        <v>0</v>
      </c>
      <c r="K68" s="223">
        <v>0</v>
      </c>
      <c r="L68" s="223"/>
    </row>
    <row r="69" spans="1:12" s="1" customFormat="1" ht="18.5" x14ac:dyDescent="0.35">
      <c r="A69" s="131" t="s">
        <v>311</v>
      </c>
      <c r="B69" s="214">
        <v>46256</v>
      </c>
      <c r="C69" s="214">
        <v>46351</v>
      </c>
      <c r="D69" s="132" t="s">
        <v>397</v>
      </c>
      <c r="E69" s="215">
        <v>1</v>
      </c>
      <c r="F69" s="223">
        <v>0.75</v>
      </c>
      <c r="G69" s="216">
        <f t="shared" si="17"/>
        <v>0.75</v>
      </c>
      <c r="H69" s="215">
        <f t="shared" si="18"/>
        <v>0.1875</v>
      </c>
      <c r="I69" s="215">
        <f t="shared" ca="1" si="19"/>
        <v>3.9893617021276593E-3</v>
      </c>
      <c r="J69" s="223">
        <f t="shared" ca="1" si="20"/>
        <v>0</v>
      </c>
      <c r="K69" s="223">
        <v>0</v>
      </c>
      <c r="L69" s="223"/>
    </row>
    <row r="70" spans="1:12" s="1" customFormat="1" ht="18.5" x14ac:dyDescent="0.35">
      <c r="A70" s="131" t="s">
        <v>293</v>
      </c>
      <c r="B70" s="214">
        <v>46239</v>
      </c>
      <c r="C70" s="214">
        <v>46361</v>
      </c>
      <c r="D70" s="132" t="s">
        <v>396</v>
      </c>
      <c r="E70" s="215">
        <v>3528</v>
      </c>
      <c r="F70" s="237">
        <v>3528</v>
      </c>
      <c r="G70" s="216">
        <f t="shared" si="17"/>
        <v>1</v>
      </c>
      <c r="H70" s="215">
        <f t="shared" si="18"/>
        <v>0</v>
      </c>
      <c r="I70" s="215">
        <f t="shared" ca="1" si="19"/>
        <v>0</v>
      </c>
      <c r="J70" s="223">
        <f t="shared" ca="1" si="20"/>
        <v>0</v>
      </c>
      <c r="K70" s="223">
        <v>2</v>
      </c>
      <c r="L70" s="223"/>
    </row>
    <row r="71" spans="1:12" s="1" customFormat="1" ht="18.5" x14ac:dyDescent="0.35">
      <c r="A71" s="131" t="s">
        <v>292</v>
      </c>
      <c r="B71" s="214">
        <v>46295</v>
      </c>
      <c r="C71" s="214">
        <v>46326</v>
      </c>
      <c r="D71" s="132" t="s">
        <v>396</v>
      </c>
      <c r="E71" s="215">
        <f>29*35</f>
        <v>1015</v>
      </c>
      <c r="F71" s="223">
        <v>659.75</v>
      </c>
      <c r="G71" s="216">
        <f t="shared" si="17"/>
        <v>0.65</v>
      </c>
      <c r="H71" s="215">
        <f t="shared" si="18"/>
        <v>230.91249999999999</v>
      </c>
      <c r="I71" s="215">
        <f t="shared" ca="1" si="19"/>
        <v>10.496022727272727</v>
      </c>
      <c r="J71" s="223">
        <f ca="1">ROUND(I71/10,0)</f>
        <v>1</v>
      </c>
      <c r="K71" s="223">
        <v>2</v>
      </c>
      <c r="L71" s="223"/>
    </row>
    <row r="72" spans="1:12" s="1" customFormat="1" ht="22.5" x14ac:dyDescent="0.35">
      <c r="A72" s="255" t="s">
        <v>328</v>
      </c>
      <c r="B72" s="255"/>
      <c r="C72" s="255"/>
      <c r="D72" s="255"/>
      <c r="E72" s="255"/>
      <c r="F72" s="255"/>
      <c r="G72" s="255"/>
      <c r="H72" s="255"/>
      <c r="I72" s="255"/>
      <c r="J72" s="255"/>
      <c r="K72" s="255"/>
      <c r="L72" s="255"/>
    </row>
    <row r="73" spans="1:12" s="1" customFormat="1" ht="18.5" x14ac:dyDescent="0.35">
      <c r="A73" s="131" t="s">
        <v>329</v>
      </c>
      <c r="B73" s="214">
        <v>46178</v>
      </c>
      <c r="C73" s="214">
        <v>46233</v>
      </c>
      <c r="D73" s="225" t="s">
        <v>397</v>
      </c>
      <c r="E73" s="215">
        <v>2</v>
      </c>
      <c r="F73" s="237">
        <v>2</v>
      </c>
      <c r="G73" s="216">
        <f t="shared" ref="G73:G76" si="21">F73/E73</f>
        <v>1</v>
      </c>
      <c r="H73" s="215">
        <f t="shared" ref="H73:H76" si="22">(E73-F73)*G73</f>
        <v>0</v>
      </c>
      <c r="I73" s="216">
        <f t="shared" ref="I73:I76" ca="1" si="23">H73/(C73-(IF(B73&gt;TODAY(),B73,TODAY())))</f>
        <v>0</v>
      </c>
      <c r="J73" s="215">
        <f t="shared" ref="J73:J76" ca="1" si="24">ROUND(I73/3,0)</f>
        <v>0</v>
      </c>
      <c r="K73" s="215">
        <v>0</v>
      </c>
      <c r="L73" s="215"/>
    </row>
    <row r="74" spans="1:12" s="1" customFormat="1" ht="18.5" x14ac:dyDescent="0.35">
      <c r="A74" s="131" t="s">
        <v>330</v>
      </c>
      <c r="B74" s="214">
        <v>46242</v>
      </c>
      <c r="C74" s="214">
        <v>46320</v>
      </c>
      <c r="D74" s="225" t="s">
        <v>397</v>
      </c>
      <c r="E74" s="215">
        <v>3</v>
      </c>
      <c r="F74" s="237">
        <v>3</v>
      </c>
      <c r="G74" s="216">
        <f t="shared" si="21"/>
        <v>1</v>
      </c>
      <c r="H74" s="215">
        <f t="shared" si="22"/>
        <v>0</v>
      </c>
      <c r="I74" s="216">
        <f t="shared" ca="1" si="23"/>
        <v>0</v>
      </c>
      <c r="J74" s="215">
        <f t="shared" ca="1" si="24"/>
        <v>0</v>
      </c>
      <c r="K74" s="215">
        <v>0</v>
      </c>
      <c r="L74" s="215"/>
    </row>
    <row r="75" spans="1:12" s="1" customFormat="1" ht="18.5" x14ac:dyDescent="0.35">
      <c r="A75" s="131" t="s">
        <v>331</v>
      </c>
      <c r="B75" s="214">
        <v>46306</v>
      </c>
      <c r="C75" s="214">
        <v>46354</v>
      </c>
      <c r="D75" s="225" t="s">
        <v>397</v>
      </c>
      <c r="E75" s="215">
        <v>1</v>
      </c>
      <c r="F75" s="237">
        <v>0.55000000000000004</v>
      </c>
      <c r="G75" s="216">
        <f t="shared" si="21"/>
        <v>0.55000000000000004</v>
      </c>
      <c r="H75" s="215">
        <f t="shared" si="22"/>
        <v>0.2475</v>
      </c>
      <c r="I75" s="216">
        <f t="shared" ca="1" si="23"/>
        <v>5.1562500000000002E-3</v>
      </c>
      <c r="J75" s="215">
        <f t="shared" ca="1" si="24"/>
        <v>0</v>
      </c>
      <c r="K75" s="215">
        <v>4</v>
      </c>
      <c r="L75" s="215"/>
    </row>
    <row r="76" spans="1:12" s="1" customFormat="1" ht="18.5" x14ac:dyDescent="0.35">
      <c r="A76" s="131" t="s">
        <v>331</v>
      </c>
      <c r="B76" s="214">
        <v>46341</v>
      </c>
      <c r="C76" s="214">
        <v>46366</v>
      </c>
      <c r="D76" s="225" t="s">
        <v>397</v>
      </c>
      <c r="E76" s="215">
        <v>1</v>
      </c>
      <c r="F76" s="237">
        <v>0</v>
      </c>
      <c r="G76" s="216">
        <f t="shared" si="21"/>
        <v>0</v>
      </c>
      <c r="H76" s="215">
        <f t="shared" si="22"/>
        <v>0</v>
      </c>
      <c r="I76" s="216">
        <f t="shared" ca="1" si="23"/>
        <v>0</v>
      </c>
      <c r="J76" s="215">
        <f t="shared" ca="1" si="24"/>
        <v>0</v>
      </c>
      <c r="K76" s="215">
        <v>2</v>
      </c>
      <c r="L76" s="215"/>
    </row>
    <row r="77" spans="1:12" s="1" customFormat="1" ht="23" x14ac:dyDescent="0.35">
      <c r="A77" s="4" t="s">
        <v>343</v>
      </c>
      <c r="B77" s="211"/>
      <c r="C77" s="211"/>
      <c r="D77" s="5"/>
      <c r="E77" s="212"/>
      <c r="F77" s="213"/>
      <c r="G77" s="213"/>
      <c r="H77" s="212"/>
      <c r="I77" s="212"/>
      <c r="J77" s="212"/>
      <c r="K77" s="212"/>
      <c r="L77" s="212"/>
    </row>
    <row r="78" spans="1:12" s="1" customFormat="1" ht="18.5" x14ac:dyDescent="0.35">
      <c r="A78" s="131" t="s">
        <v>332</v>
      </c>
      <c r="B78" s="214">
        <v>46294</v>
      </c>
      <c r="C78" s="214">
        <v>46315</v>
      </c>
      <c r="D78" s="225"/>
      <c r="E78" s="215"/>
      <c r="F78" s="237"/>
      <c r="G78" s="216"/>
      <c r="H78" s="215"/>
      <c r="I78" s="215"/>
      <c r="J78" s="215"/>
      <c r="K78" s="215"/>
      <c r="L78" s="215"/>
    </row>
    <row r="79" spans="1:12" s="1" customFormat="1" ht="18.5" x14ac:dyDescent="0.35">
      <c r="A79" s="131" t="s">
        <v>302</v>
      </c>
      <c r="B79" s="214">
        <v>46326</v>
      </c>
      <c r="C79" s="214">
        <v>46346</v>
      </c>
      <c r="D79" s="225"/>
      <c r="E79" s="215"/>
      <c r="F79" s="237"/>
      <c r="G79" s="216"/>
      <c r="H79" s="215"/>
      <c r="I79" s="215"/>
      <c r="J79" s="215"/>
      <c r="K79" s="215"/>
      <c r="L79" s="215"/>
    </row>
    <row r="80" spans="1:12" s="1" customFormat="1" ht="18.5" x14ac:dyDescent="0.35">
      <c r="A80" s="131" t="s">
        <v>334</v>
      </c>
      <c r="B80" s="214">
        <v>46323</v>
      </c>
      <c r="C80" s="214">
        <v>46351</v>
      </c>
      <c r="D80" s="225"/>
      <c r="E80" s="215"/>
      <c r="F80" s="237"/>
      <c r="G80" s="216"/>
      <c r="H80" s="215"/>
      <c r="I80" s="215"/>
      <c r="J80" s="215"/>
      <c r="K80" s="215"/>
      <c r="L80" s="215"/>
    </row>
    <row r="81" spans="1:12" s="1" customFormat="1" ht="23" x14ac:dyDescent="0.35">
      <c r="A81" s="4" t="s">
        <v>336</v>
      </c>
      <c r="B81" s="211"/>
      <c r="C81" s="211"/>
      <c r="D81" s="5"/>
      <c r="E81" s="212"/>
      <c r="F81" s="213"/>
      <c r="G81" s="213"/>
      <c r="H81" s="212"/>
      <c r="I81" s="212"/>
      <c r="J81" s="212"/>
      <c r="K81" s="212"/>
      <c r="L81" s="212"/>
    </row>
    <row r="82" spans="1:12" s="1" customFormat="1" ht="18.5" x14ac:dyDescent="0.35">
      <c r="A82" s="131" t="s">
        <v>337</v>
      </c>
      <c r="B82" s="214">
        <v>46357</v>
      </c>
      <c r="C82" s="214">
        <v>46380</v>
      </c>
      <c r="D82" s="225"/>
      <c r="E82" s="215"/>
      <c r="F82" s="216"/>
      <c r="G82" s="216"/>
      <c r="H82" s="215"/>
      <c r="I82" s="215"/>
      <c r="J82" s="215"/>
      <c r="K82" s="215"/>
      <c r="L82" s="215"/>
    </row>
    <row r="83" spans="1:12" ht="18.5" x14ac:dyDescent="0.35">
      <c r="A83" s="131" t="s">
        <v>339</v>
      </c>
      <c r="B83" s="214">
        <v>46351</v>
      </c>
      <c r="C83" s="214">
        <v>46376</v>
      </c>
      <c r="D83" s="225"/>
      <c r="E83" s="215"/>
      <c r="F83" s="216"/>
      <c r="G83" s="216"/>
      <c r="H83" s="215"/>
      <c r="I83" s="215"/>
      <c r="J83" s="215"/>
      <c r="K83" s="215"/>
      <c r="L83" s="215"/>
    </row>
    <row r="84" spans="1:12" ht="18.5" x14ac:dyDescent="0.35">
      <c r="A84" s="131" t="s">
        <v>338</v>
      </c>
      <c r="B84" s="214">
        <v>46361</v>
      </c>
      <c r="C84" s="214">
        <v>46380</v>
      </c>
      <c r="D84" s="225"/>
      <c r="E84" s="215"/>
      <c r="F84" s="216"/>
      <c r="G84" s="216"/>
      <c r="H84" s="215"/>
      <c r="I84" s="215"/>
      <c r="J84" s="215"/>
      <c r="K84" s="215"/>
      <c r="L84" s="215"/>
    </row>
    <row r="85" spans="1:12" ht="18.5" x14ac:dyDescent="0.35">
      <c r="A85" s="131" t="s">
        <v>340</v>
      </c>
      <c r="B85" s="214">
        <v>46346</v>
      </c>
      <c r="C85" s="214">
        <v>46376</v>
      </c>
      <c r="D85" s="225"/>
      <c r="E85" s="215"/>
      <c r="F85" s="216"/>
      <c r="G85" s="216"/>
      <c r="H85" s="215"/>
      <c r="I85" s="215"/>
      <c r="J85" s="215"/>
      <c r="K85" s="215"/>
      <c r="L85" s="215"/>
    </row>
    <row r="1048571" spans="9:9" ht="30" customHeight="1" x14ac:dyDescent="0.4">
      <c r="I1048571" s="215">
        <f ca="1">H1048571/(C1048571-TODAY())</f>
        <v>0</v>
      </c>
    </row>
  </sheetData>
  <mergeCells count="13">
    <mergeCell ref="L2:L3"/>
    <mergeCell ref="A72:L72"/>
    <mergeCell ref="K2:K3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</mergeCells>
  <dataValidations disablePrompts="1" count="4">
    <dataValidation allowBlank="1" showInputMessage="1" showErrorMessage="1" prompt="Enter activity in column B, starting with cell B5_x000a_" sqref="A2:A3" xr:uid="{EED6C91F-EB6D-4C53-B45B-D4C0D93BF29A}"/>
    <dataValidation allowBlank="1" showInputMessage="1" showErrorMessage="1" prompt="Enter plan start period in column C, starting with cell C5" sqref="B2:B3" xr:uid="{5229AD1D-0F6B-476B-85C9-4018A6A7FD0E}"/>
    <dataValidation allowBlank="1" showInputMessage="1" showErrorMessage="1" prompt="Title of the project. Enter a new title in this cell. Highlight a period in H2. Chart legend is in J2 to AI2" sqref="A1" xr:uid="{2257D06A-E9F0-409A-9648-9E94F6A66085}"/>
    <dataValidation allowBlank="1" showInputMessage="1" showErrorMessage="1" prompt="Enter actual duration period in column F, starting with cell F5" sqref="C2:K3" xr:uid="{D121B3BD-F5BD-4F33-AF2F-DDEC845BB5DC}"/>
  </dataValidations>
  <printOptions horizontalCentered="1"/>
  <pageMargins left="0.45" right="0.45" top="0.5" bottom="0.5" header="0.3" footer="0.3"/>
  <pageSetup paperSize="8" fitToHeight="0" orientation="landscape" r:id="rId1"/>
  <headerFooter differentFirst="1">
    <oddFooter>&amp;L_x000D_&amp;1#&amp;"Aptos"&amp;8&amp;K000000 Sensitivity: LNT Construction Internal Use</oddFooter>
    <firstFooter>&amp;L_x000D_&amp;1#&amp;"Aptos"&amp;8&amp;K000000 Sensitivity: LNT Construction Internal Use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CB863-49CB-446E-B53E-66D881A5DC27}">
  <dimension ref="B1:F15"/>
  <sheetViews>
    <sheetView zoomScale="88" workbookViewId="0">
      <selection activeCell="D17" sqref="D17"/>
    </sheetView>
  </sheetViews>
  <sheetFormatPr defaultColWidth="8.58203125" defaultRowHeight="14.5" x14ac:dyDescent="0.35"/>
  <cols>
    <col min="1" max="1" width="8.58203125" style="197"/>
    <col min="2" max="2" width="30.5" style="197" bestFit="1" customWidth="1"/>
    <col min="3" max="3" width="16.83203125" style="197" customWidth="1"/>
    <col min="4" max="4" width="8.58203125" style="197"/>
    <col min="5" max="5" width="13.33203125" style="197" customWidth="1"/>
    <col min="6" max="6" width="17" style="197" customWidth="1"/>
    <col min="7" max="16384" width="8.58203125" style="197"/>
  </cols>
  <sheetData>
    <row r="1" spans="2:6" x14ac:dyDescent="0.35">
      <c r="B1" s="253" t="s">
        <v>388</v>
      </c>
      <c r="C1" s="259" t="s">
        <v>31</v>
      </c>
    </row>
    <row r="2" spans="2:6" x14ac:dyDescent="0.35">
      <c r="B2" s="254"/>
      <c r="C2" s="260"/>
    </row>
    <row r="3" spans="2:6" ht="19" x14ac:dyDescent="0.35">
      <c r="B3" s="198" t="s">
        <v>8</v>
      </c>
      <c r="C3" s="199">
        <v>46320</v>
      </c>
    </row>
    <row r="4" spans="2:6" ht="19" x14ac:dyDescent="0.35">
      <c r="B4" s="202" t="s">
        <v>375</v>
      </c>
      <c r="C4" s="203">
        <v>46346</v>
      </c>
      <c r="E4" s="200" t="s">
        <v>374</v>
      </c>
      <c r="F4" s="201" t="s">
        <v>305</v>
      </c>
    </row>
    <row r="5" spans="2:6" ht="19" x14ac:dyDescent="0.35">
      <c r="B5" s="198" t="s">
        <v>377</v>
      </c>
      <c r="C5" s="199">
        <v>46346</v>
      </c>
      <c r="E5" s="204" t="s">
        <v>376</v>
      </c>
      <c r="F5" s="199">
        <v>46323</v>
      </c>
    </row>
    <row r="6" spans="2:6" ht="19" x14ac:dyDescent="0.35">
      <c r="B6" s="202" t="s">
        <v>379</v>
      </c>
      <c r="C6" s="203">
        <v>46356</v>
      </c>
      <c r="E6" s="204" t="s">
        <v>378</v>
      </c>
      <c r="F6" s="199">
        <v>46351</v>
      </c>
    </row>
    <row r="7" spans="2:6" ht="19" x14ac:dyDescent="0.35">
      <c r="B7" s="198" t="s">
        <v>11</v>
      </c>
      <c r="C7" s="199">
        <v>46374</v>
      </c>
      <c r="E7" s="205" t="s">
        <v>380</v>
      </c>
      <c r="F7" s="199">
        <v>46374</v>
      </c>
    </row>
    <row r="8" spans="2:6" ht="19" x14ac:dyDescent="0.35">
      <c r="B8" s="202" t="s">
        <v>382</v>
      </c>
      <c r="C8" s="203">
        <v>46384</v>
      </c>
      <c r="E8" s="206" t="s">
        <v>381</v>
      </c>
      <c r="F8" s="199">
        <v>46381</v>
      </c>
    </row>
    <row r="9" spans="2:6" ht="19" x14ac:dyDescent="0.35">
      <c r="B9" s="198" t="s">
        <v>389</v>
      </c>
      <c r="C9" s="199">
        <v>46382</v>
      </c>
    </row>
    <row r="10" spans="2:6" ht="19" x14ac:dyDescent="0.35">
      <c r="B10" s="202" t="s">
        <v>384</v>
      </c>
      <c r="C10" s="203">
        <v>46367</v>
      </c>
    </row>
    <row r="11" spans="2:6" ht="19" x14ac:dyDescent="0.35">
      <c r="B11" s="198" t="s">
        <v>385</v>
      </c>
      <c r="C11" s="199">
        <v>46380</v>
      </c>
    </row>
    <row r="12" spans="2:6" ht="19" x14ac:dyDescent="0.35">
      <c r="B12" s="202" t="s">
        <v>390</v>
      </c>
      <c r="C12" s="203">
        <v>46341</v>
      </c>
    </row>
    <row r="13" spans="2:6" ht="19" x14ac:dyDescent="0.35">
      <c r="B13" s="198" t="s">
        <v>386</v>
      </c>
      <c r="C13" s="199">
        <v>46368</v>
      </c>
    </row>
    <row r="14" spans="2:6" ht="19" x14ac:dyDescent="0.35">
      <c r="B14" s="202" t="s">
        <v>387</v>
      </c>
      <c r="C14" s="203">
        <v>46377</v>
      </c>
    </row>
    <row r="15" spans="2:6" ht="19" x14ac:dyDescent="0.35">
      <c r="B15" s="198" t="s">
        <v>391</v>
      </c>
      <c r="C15" s="199">
        <v>46380</v>
      </c>
    </row>
  </sheetData>
  <mergeCells count="2">
    <mergeCell ref="B1:B2"/>
    <mergeCell ref="C1:C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6BACE-39C5-4A13-8BEA-F8AA735C1AF7}">
  <sheetPr>
    <tabColor theme="7"/>
    <pageSetUpPr fitToPage="1"/>
  </sheetPr>
  <dimension ref="A1:Q1048544"/>
  <sheetViews>
    <sheetView showGridLines="0" zoomScale="75" zoomScaleNormal="85" zoomScaleSheetLayoutView="80" workbookViewId="0">
      <pane ySplit="4" topLeftCell="A5" activePane="bottomLeft" state="frozen"/>
      <selection pane="bottomLeft" activeCell="F6" sqref="F6:F16"/>
    </sheetView>
  </sheetViews>
  <sheetFormatPr defaultColWidth="2.75" defaultRowHeight="30" customHeight="1" x14ac:dyDescent="0.4"/>
  <cols>
    <col min="1" max="1" width="34.75" style="2" customWidth="1"/>
    <col min="2" max="2" width="15.33203125" style="1" customWidth="1"/>
    <col min="3" max="4" width="13.33203125" customWidth="1"/>
    <col min="5" max="5" width="13.33203125" style="226" customWidth="1"/>
    <col min="6" max="6" width="11.08203125" style="226" customWidth="1"/>
    <col min="7" max="7" width="11.08203125" style="228" customWidth="1"/>
    <col min="8" max="8" width="12" style="228" customWidth="1"/>
    <col min="9" max="11" width="13.33203125" style="226" customWidth="1"/>
  </cols>
  <sheetData>
    <row r="1" spans="1:17" ht="30.75" customHeight="1" x14ac:dyDescent="1.2">
      <c r="A1" s="47" t="s">
        <v>285</v>
      </c>
      <c r="B1" s="48"/>
      <c r="C1" s="49"/>
      <c r="D1" s="49"/>
      <c r="E1" s="209"/>
      <c r="F1" s="209"/>
      <c r="G1" s="210"/>
      <c r="H1" s="210"/>
      <c r="I1" s="209"/>
      <c r="J1" s="209"/>
      <c r="K1" s="209"/>
      <c r="L1" s="21"/>
      <c r="M1" s="14"/>
      <c r="N1" s="14"/>
      <c r="O1" s="14"/>
      <c r="P1" s="14"/>
      <c r="Q1" s="14"/>
    </row>
    <row r="2" spans="1:17" ht="16" x14ac:dyDescent="0.35">
      <c r="A2" s="229"/>
      <c r="B2" s="153"/>
      <c r="C2" s="153"/>
      <c r="D2" s="153"/>
      <c r="E2" s="230"/>
      <c r="F2" s="230"/>
      <c r="G2" s="231"/>
      <c r="H2" s="231"/>
      <c r="I2" s="230"/>
      <c r="J2" s="230"/>
      <c r="K2" s="230"/>
      <c r="L2" s="21"/>
      <c r="M2" s="14"/>
      <c r="N2" s="14"/>
      <c r="O2" s="14"/>
      <c r="P2" s="14"/>
      <c r="Q2" s="14"/>
    </row>
    <row r="3" spans="1:17" s="11" customFormat="1" ht="16" customHeight="1" x14ac:dyDescent="0.35">
      <c r="A3" s="247" t="s">
        <v>1</v>
      </c>
      <c r="B3" s="248" t="s">
        <v>304</v>
      </c>
      <c r="C3" s="248" t="s">
        <v>31</v>
      </c>
      <c r="D3" s="248" t="s">
        <v>102</v>
      </c>
      <c r="E3" s="246" t="s">
        <v>406</v>
      </c>
      <c r="F3" s="249" t="s">
        <v>423</v>
      </c>
      <c r="G3" s="251" t="s">
        <v>409</v>
      </c>
      <c r="H3" s="251" t="s">
        <v>105</v>
      </c>
      <c r="I3" s="246" t="s">
        <v>392</v>
      </c>
      <c r="J3" s="246" t="s">
        <v>407</v>
      </c>
      <c r="K3" s="246" t="s">
        <v>408</v>
      </c>
    </row>
    <row r="4" spans="1:17" ht="38.15" customHeight="1" x14ac:dyDescent="0.35">
      <c r="A4" s="247"/>
      <c r="B4" s="248"/>
      <c r="C4" s="248"/>
      <c r="D4" s="248"/>
      <c r="E4" s="246"/>
      <c r="F4" s="250"/>
      <c r="G4" s="251"/>
      <c r="H4" s="251"/>
      <c r="I4" s="246"/>
      <c r="J4" s="246"/>
      <c r="K4" s="246"/>
    </row>
    <row r="5" spans="1:17" s="243" customFormat="1" ht="18.5" x14ac:dyDescent="0.35">
      <c r="A5" s="135" t="s">
        <v>7</v>
      </c>
      <c r="B5" s="136"/>
      <c r="C5" s="136"/>
      <c r="D5" s="136"/>
      <c r="E5" s="221"/>
      <c r="F5" s="221"/>
      <c r="G5" s="222"/>
      <c r="H5" s="222"/>
      <c r="I5" s="221"/>
      <c r="J5" s="221"/>
      <c r="K5" s="221"/>
    </row>
    <row r="6" spans="1:17" ht="18.5" x14ac:dyDescent="0.35">
      <c r="A6" s="131" t="s">
        <v>8</v>
      </c>
      <c r="B6" s="225">
        <v>45938</v>
      </c>
      <c r="C6" s="225">
        <v>46320</v>
      </c>
      <c r="D6" s="225" t="s">
        <v>419</v>
      </c>
      <c r="E6" s="215">
        <f>4931-703</f>
        <v>4228</v>
      </c>
      <c r="F6" s="215">
        <v>4101.16</v>
      </c>
      <c r="G6" s="220">
        <f>F6/E6</f>
        <v>0.97</v>
      </c>
      <c r="H6" s="219">
        <f>E6-F6</f>
        <v>126.84000000000015</v>
      </c>
      <c r="I6" s="215">
        <f ca="1">H6/(C6-(IF(B6&gt;TODAY(),B6,TODAY())))</f>
        <v>7.9275000000000091</v>
      </c>
      <c r="J6" s="215">
        <f ca="1">ROUND(I6/1,0)</f>
        <v>8</v>
      </c>
      <c r="K6" s="215">
        <v>8</v>
      </c>
    </row>
    <row r="7" spans="1:17" ht="18.5" x14ac:dyDescent="0.35">
      <c r="A7" s="131" t="s">
        <v>278</v>
      </c>
      <c r="B7" s="225">
        <v>46032</v>
      </c>
      <c r="C7" s="225">
        <v>46336</v>
      </c>
      <c r="D7" s="225" t="s">
        <v>396</v>
      </c>
      <c r="E7" s="215">
        <v>55280</v>
      </c>
      <c r="F7" s="215">
        <v>44989</v>
      </c>
      <c r="G7" s="220">
        <f t="shared" ref="G7:G16" si="0">F7/E7</f>
        <v>0.81383863965267733</v>
      </c>
      <c r="H7" s="219">
        <f>E7-F7</f>
        <v>10291</v>
      </c>
      <c r="I7" s="215">
        <f t="shared" ref="I7:I16" ca="1" si="1">H7/(C7-(IF(B7&gt;TODAY(),B7,TODAY())))</f>
        <v>321.59375</v>
      </c>
      <c r="J7" s="215">
        <f ca="1">ROUND(I7/12,0)</f>
        <v>27</v>
      </c>
      <c r="K7" s="215">
        <v>30</v>
      </c>
    </row>
    <row r="8" spans="1:17" ht="18.5" x14ac:dyDescent="0.35">
      <c r="A8" s="131" t="s">
        <v>291</v>
      </c>
      <c r="B8" s="225">
        <v>46102</v>
      </c>
      <c r="C8" s="225">
        <v>46371</v>
      </c>
      <c r="D8" s="225" t="s">
        <v>397</v>
      </c>
      <c r="E8" s="215">
        <v>782</v>
      </c>
      <c r="F8" s="215">
        <v>445.73999999999995</v>
      </c>
      <c r="G8" s="220">
        <f t="shared" si="0"/>
        <v>0.56999999999999995</v>
      </c>
      <c r="H8" s="219">
        <f t="shared" ref="H8:H16" si="2">E8-F8</f>
        <v>336.26000000000005</v>
      </c>
      <c r="I8" s="215">
        <f t="shared" ca="1" si="1"/>
        <v>5.0188059701492547</v>
      </c>
      <c r="J8" s="215">
        <f ca="1">ROUND(I8/3,0)</f>
        <v>2</v>
      </c>
      <c r="K8" s="215">
        <v>0</v>
      </c>
    </row>
    <row r="9" spans="1:17" ht="18.5" x14ac:dyDescent="0.35">
      <c r="A9" s="131" t="s">
        <v>75</v>
      </c>
      <c r="B9" s="225">
        <v>46073</v>
      </c>
      <c r="C9" s="225">
        <f>VLOOKUP(A9,[1]EMR!$B$7:$D$131,3,FALSE)</f>
        <v>46356</v>
      </c>
      <c r="D9" s="225" t="s">
        <v>396</v>
      </c>
      <c r="E9" s="215">
        <f>17000+7221+1921</f>
        <v>26142</v>
      </c>
      <c r="F9" s="215">
        <v>21499.02</v>
      </c>
      <c r="G9" s="220">
        <f t="shared" si="0"/>
        <v>0.82239384897865508</v>
      </c>
      <c r="H9" s="219">
        <f t="shared" si="2"/>
        <v>4642.9799999999996</v>
      </c>
      <c r="I9" s="215">
        <f t="shared" ca="1" si="1"/>
        <v>89.288076923076915</v>
      </c>
      <c r="J9" s="215">
        <f ca="1">ROUND(I9/10,0)</f>
        <v>9</v>
      </c>
      <c r="K9" s="215">
        <v>12</v>
      </c>
    </row>
    <row r="10" spans="1:17" ht="18.5" x14ac:dyDescent="0.35">
      <c r="A10" s="131" t="s">
        <v>410</v>
      </c>
      <c r="B10" s="225">
        <v>46310</v>
      </c>
      <c r="C10" s="225">
        <v>46346</v>
      </c>
      <c r="D10" s="225" t="s">
        <v>396</v>
      </c>
      <c r="E10" s="215">
        <f>4152*1.5</f>
        <v>6228</v>
      </c>
      <c r="F10" s="215">
        <v>186.84</v>
      </c>
      <c r="G10" s="220">
        <f t="shared" si="0"/>
        <v>0.03</v>
      </c>
      <c r="H10" s="219">
        <f t="shared" si="2"/>
        <v>6041.16</v>
      </c>
      <c r="I10" s="215">
        <f t="shared" ca="1" si="1"/>
        <v>167.81</v>
      </c>
      <c r="J10" s="215">
        <f ca="1">ROUND(I10/12,0)</f>
        <v>14</v>
      </c>
      <c r="K10" s="215"/>
      <c r="L10" s="1"/>
      <c r="M10" s="1"/>
      <c r="N10" s="1"/>
      <c r="O10" s="1"/>
    </row>
    <row r="11" spans="1:17" ht="18.5" x14ac:dyDescent="0.35">
      <c r="A11" s="131" t="s">
        <v>411</v>
      </c>
      <c r="B11" s="225">
        <f>B10+10</f>
        <v>46320</v>
      </c>
      <c r="C11" s="225">
        <v>46336</v>
      </c>
      <c r="D11" s="225" t="s">
        <v>396</v>
      </c>
      <c r="E11" s="215">
        <f>3598*1.5</f>
        <v>5397</v>
      </c>
      <c r="F11" s="215">
        <v>0</v>
      </c>
      <c r="G11" s="220">
        <f t="shared" si="0"/>
        <v>0</v>
      </c>
      <c r="H11" s="219">
        <f t="shared" si="2"/>
        <v>5397</v>
      </c>
      <c r="I11" s="215">
        <f t="shared" ca="1" si="1"/>
        <v>337.3125</v>
      </c>
      <c r="J11" s="215">
        <f t="shared" ref="J11:J13" ca="1" si="3">ROUND(I11/12,0)</f>
        <v>28</v>
      </c>
      <c r="K11" s="215"/>
      <c r="L11" s="1"/>
      <c r="M11" s="1"/>
      <c r="N11" s="1"/>
      <c r="O11" s="1"/>
    </row>
    <row r="12" spans="1:17" ht="18.5" x14ac:dyDescent="0.35">
      <c r="A12" s="131" t="s">
        <v>412</v>
      </c>
      <c r="B12" s="225">
        <f>B11+10</f>
        <v>46330</v>
      </c>
      <c r="C12" s="225">
        <v>46351</v>
      </c>
      <c r="D12" s="225" t="s">
        <v>396</v>
      </c>
      <c r="E12" s="215">
        <f>3598*1.5</f>
        <v>5397</v>
      </c>
      <c r="F12" s="215">
        <v>0</v>
      </c>
      <c r="G12" s="220">
        <f t="shared" si="0"/>
        <v>0</v>
      </c>
      <c r="H12" s="219">
        <f t="shared" si="2"/>
        <v>5397</v>
      </c>
      <c r="I12" s="215">
        <f t="shared" ca="1" si="1"/>
        <v>257</v>
      </c>
      <c r="J12" s="215">
        <f t="shared" ca="1" si="3"/>
        <v>21</v>
      </c>
      <c r="K12" s="215"/>
      <c r="L12" s="1"/>
      <c r="M12" s="1"/>
      <c r="N12" s="1"/>
      <c r="O12" s="1"/>
    </row>
    <row r="13" spans="1:17" ht="18.5" x14ac:dyDescent="0.35">
      <c r="A13" s="131" t="s">
        <v>413</v>
      </c>
      <c r="B13" s="225">
        <f>B12+10</f>
        <v>46340</v>
      </c>
      <c r="C13" s="225">
        <v>46366</v>
      </c>
      <c r="D13" s="225" t="s">
        <v>396</v>
      </c>
      <c r="E13" s="215">
        <f>3715*1.5</f>
        <v>5572.5</v>
      </c>
      <c r="F13" s="215">
        <v>0</v>
      </c>
      <c r="G13" s="220">
        <f t="shared" si="0"/>
        <v>0</v>
      </c>
      <c r="H13" s="219">
        <f t="shared" si="2"/>
        <v>5572.5</v>
      </c>
      <c r="I13" s="215">
        <f t="shared" ca="1" si="1"/>
        <v>214.32692307692307</v>
      </c>
      <c r="J13" s="215">
        <f t="shared" ca="1" si="3"/>
        <v>18</v>
      </c>
      <c r="K13" s="215"/>
      <c r="L13" s="1"/>
      <c r="M13" s="1"/>
      <c r="N13" s="1"/>
      <c r="O13" s="1"/>
    </row>
    <row r="14" spans="1:17" ht="18.5" x14ac:dyDescent="0.35">
      <c r="A14" s="131" t="s">
        <v>345</v>
      </c>
      <c r="B14" s="225">
        <v>46315</v>
      </c>
      <c r="C14" s="225">
        <v>46376</v>
      </c>
      <c r="D14" s="225" t="s">
        <v>396</v>
      </c>
      <c r="E14" s="215">
        <v>290</v>
      </c>
      <c r="F14" s="215">
        <v>0</v>
      </c>
      <c r="G14" s="220">
        <f t="shared" si="0"/>
        <v>0</v>
      </c>
      <c r="H14" s="219">
        <f t="shared" si="2"/>
        <v>290</v>
      </c>
      <c r="I14" s="215">
        <f t="shared" ca="1" si="1"/>
        <v>4.7540983606557381</v>
      </c>
      <c r="J14" s="215">
        <f ca="1">ROUND(I14/5,0)</f>
        <v>1</v>
      </c>
      <c r="K14" s="215">
        <v>0</v>
      </c>
    </row>
    <row r="15" spans="1:17" ht="18.5" x14ac:dyDescent="0.35">
      <c r="A15" s="131" t="s">
        <v>341</v>
      </c>
      <c r="B15" s="225">
        <v>46344</v>
      </c>
      <c r="C15" s="225">
        <v>46374</v>
      </c>
      <c r="D15" s="225" t="s">
        <v>396</v>
      </c>
      <c r="E15" s="215">
        <v>530</v>
      </c>
      <c r="F15" s="215">
        <v>0</v>
      </c>
      <c r="G15" s="220">
        <f t="shared" si="0"/>
        <v>0</v>
      </c>
      <c r="H15" s="219">
        <f t="shared" si="2"/>
        <v>530</v>
      </c>
      <c r="I15" s="215">
        <f t="shared" ca="1" si="1"/>
        <v>17.666666666666668</v>
      </c>
      <c r="J15" s="215">
        <f ca="1">ROUND(I15/10,0)</f>
        <v>2</v>
      </c>
      <c r="K15" s="215">
        <v>0</v>
      </c>
    </row>
    <row r="16" spans="1:17" ht="18.5" x14ac:dyDescent="0.35">
      <c r="A16" s="131" t="s">
        <v>13</v>
      </c>
      <c r="B16" s="225">
        <v>46336</v>
      </c>
      <c r="C16" s="225">
        <v>46376</v>
      </c>
      <c r="D16" s="225" t="s">
        <v>398</v>
      </c>
      <c r="E16" s="215">
        <v>475</v>
      </c>
      <c r="F16" s="215">
        <v>0</v>
      </c>
      <c r="G16" s="220">
        <f t="shared" si="0"/>
        <v>0</v>
      </c>
      <c r="H16" s="219">
        <f t="shared" si="2"/>
        <v>475</v>
      </c>
      <c r="I16" s="215">
        <f t="shared" ca="1" si="1"/>
        <v>11.875</v>
      </c>
      <c r="J16" s="215">
        <f ca="1">ROUND(I16/10,0)</f>
        <v>1</v>
      </c>
      <c r="K16" s="215">
        <v>0</v>
      </c>
    </row>
    <row r="17" spans="1:11" ht="18" x14ac:dyDescent="0.35">
      <c r="A17" s="135" t="s">
        <v>299</v>
      </c>
      <c r="B17" s="136"/>
      <c r="C17" s="136"/>
      <c r="D17" s="136"/>
      <c r="E17" s="221"/>
      <c r="F17" s="221"/>
      <c r="G17" s="222"/>
      <c r="H17" s="222"/>
      <c r="I17" s="221"/>
      <c r="J17" s="221"/>
      <c r="K17" s="221"/>
    </row>
    <row r="18" spans="1:11" ht="18.5" x14ac:dyDescent="0.35">
      <c r="A18" s="131" t="s">
        <v>346</v>
      </c>
      <c r="B18" s="132"/>
      <c r="C18" s="132"/>
      <c r="D18" s="132"/>
      <c r="E18" s="215"/>
      <c r="F18" s="215"/>
      <c r="G18" s="216"/>
      <c r="H18" s="216"/>
      <c r="I18" s="215"/>
      <c r="J18" s="215"/>
      <c r="K18" s="215"/>
    </row>
    <row r="19" spans="1:11" ht="18.5" x14ac:dyDescent="0.35">
      <c r="A19" s="165" t="s">
        <v>300</v>
      </c>
      <c r="B19" s="225">
        <v>46167</v>
      </c>
      <c r="C19" s="225">
        <v>46262</v>
      </c>
      <c r="D19" s="225"/>
      <c r="E19" s="215"/>
      <c r="F19" s="215"/>
      <c r="G19" s="216">
        <v>1</v>
      </c>
      <c r="H19" s="216">
        <v>1</v>
      </c>
      <c r="I19" s="215"/>
      <c r="J19" s="215"/>
      <c r="K19" s="215"/>
    </row>
    <row r="20" spans="1:11" ht="18.5" x14ac:dyDescent="0.35">
      <c r="A20" s="165" t="s">
        <v>356</v>
      </c>
      <c r="B20" s="225">
        <v>46262</v>
      </c>
      <c r="C20" s="225">
        <v>46310</v>
      </c>
      <c r="D20" s="225"/>
      <c r="E20" s="215"/>
      <c r="F20" s="215"/>
      <c r="G20" s="216">
        <v>0.54</v>
      </c>
      <c r="H20" s="216">
        <f>100%-G20</f>
        <v>0.45999999999999996</v>
      </c>
      <c r="I20" s="215"/>
      <c r="J20" s="215">
        <v>4</v>
      </c>
      <c r="K20" s="215">
        <v>0</v>
      </c>
    </row>
    <row r="21" spans="1:11" ht="18.5" x14ac:dyDescent="0.35">
      <c r="A21" s="131" t="s">
        <v>347</v>
      </c>
      <c r="B21" s="225"/>
      <c r="C21" s="225"/>
      <c r="D21" s="225"/>
      <c r="E21" s="215"/>
      <c r="F21" s="215"/>
      <c r="G21" s="216"/>
      <c r="H21" s="216"/>
      <c r="I21" s="215"/>
      <c r="J21" s="215"/>
      <c r="K21" s="215"/>
    </row>
    <row r="22" spans="1:11" ht="18.5" x14ac:dyDescent="0.35">
      <c r="A22" s="165" t="s">
        <v>300</v>
      </c>
      <c r="B22" s="225">
        <v>46193</v>
      </c>
      <c r="C22" s="225">
        <v>46298</v>
      </c>
      <c r="D22" s="225"/>
      <c r="E22" s="215"/>
      <c r="F22" s="215"/>
      <c r="G22" s="216">
        <v>1</v>
      </c>
      <c r="H22" s="216">
        <f t="shared" ref="H22:H29" si="4">100%-G22</f>
        <v>0</v>
      </c>
      <c r="I22" s="215"/>
      <c r="J22" s="215">
        <v>8</v>
      </c>
      <c r="K22" s="215">
        <v>8</v>
      </c>
    </row>
    <row r="23" spans="1:11" ht="18.5" x14ac:dyDescent="0.35">
      <c r="A23" s="165" t="s">
        <v>356</v>
      </c>
      <c r="B23" s="225">
        <v>46298</v>
      </c>
      <c r="C23" s="225">
        <v>46325</v>
      </c>
      <c r="D23" s="225"/>
      <c r="E23" s="215"/>
      <c r="F23" s="215"/>
      <c r="G23" s="216">
        <v>0.12</v>
      </c>
      <c r="H23" s="216">
        <f t="shared" si="4"/>
        <v>0.88</v>
      </c>
      <c r="I23" s="215"/>
      <c r="J23" s="215"/>
      <c r="K23" s="215"/>
    </row>
    <row r="24" spans="1:11" ht="18.5" x14ac:dyDescent="0.35">
      <c r="A24" s="131" t="s">
        <v>348</v>
      </c>
      <c r="B24" s="225"/>
      <c r="C24" s="225"/>
      <c r="D24" s="225"/>
      <c r="E24" s="215"/>
      <c r="F24" s="215"/>
      <c r="G24" s="216"/>
      <c r="H24" s="216"/>
      <c r="I24" s="215"/>
      <c r="J24" s="215"/>
      <c r="K24" s="215"/>
    </row>
    <row r="25" spans="1:11" ht="18.5" x14ac:dyDescent="0.35">
      <c r="A25" s="165" t="s">
        <v>300</v>
      </c>
      <c r="B25" s="225">
        <v>46208</v>
      </c>
      <c r="C25" s="225">
        <v>46325</v>
      </c>
      <c r="D25" s="225"/>
      <c r="E25" s="215"/>
      <c r="F25" s="215"/>
      <c r="G25" s="216">
        <v>0.45</v>
      </c>
      <c r="H25" s="216">
        <f t="shared" si="4"/>
        <v>0.55000000000000004</v>
      </c>
      <c r="I25" s="215"/>
      <c r="J25" s="215">
        <v>10</v>
      </c>
      <c r="K25" s="215">
        <v>12</v>
      </c>
    </row>
    <row r="26" spans="1:11" ht="18.5" x14ac:dyDescent="0.35">
      <c r="A26" s="165" t="s">
        <v>356</v>
      </c>
      <c r="B26" s="225">
        <v>46325</v>
      </c>
      <c r="C26" s="225">
        <v>46377</v>
      </c>
      <c r="D26" s="225"/>
      <c r="E26" s="215"/>
      <c r="F26" s="215"/>
      <c r="G26" s="216">
        <v>0</v>
      </c>
      <c r="H26" s="216">
        <f t="shared" si="4"/>
        <v>1</v>
      </c>
      <c r="I26" s="215"/>
      <c r="J26" s="215"/>
      <c r="K26" s="215"/>
    </row>
    <row r="27" spans="1:11" ht="18" x14ac:dyDescent="0.35">
      <c r="A27" s="135" t="s">
        <v>301</v>
      </c>
      <c r="B27" s="136"/>
      <c r="C27" s="136"/>
      <c r="D27" s="136"/>
      <c r="E27" s="221"/>
      <c r="F27" s="221"/>
      <c r="G27" s="222"/>
      <c r="H27" s="222"/>
      <c r="I27" s="221"/>
      <c r="J27" s="221"/>
      <c r="K27" s="221"/>
    </row>
    <row r="28" spans="1:11" ht="18.5" x14ac:dyDescent="0.35">
      <c r="A28" s="165" t="s">
        <v>300</v>
      </c>
      <c r="B28" s="225">
        <v>46213</v>
      </c>
      <c r="C28" s="225">
        <v>46264</v>
      </c>
      <c r="D28" s="225"/>
      <c r="E28" s="215"/>
      <c r="F28" s="215"/>
      <c r="G28" s="216">
        <v>1</v>
      </c>
      <c r="H28" s="216">
        <f t="shared" si="4"/>
        <v>0</v>
      </c>
      <c r="I28" s="215" t="s">
        <v>403</v>
      </c>
      <c r="J28" s="215" t="s">
        <v>403</v>
      </c>
      <c r="K28" s="215"/>
    </row>
    <row r="29" spans="1:11" ht="18.5" x14ac:dyDescent="0.35">
      <c r="A29" s="165" t="s">
        <v>360</v>
      </c>
      <c r="B29" s="225">
        <v>46266</v>
      </c>
      <c r="C29" s="225">
        <v>46351</v>
      </c>
      <c r="D29" s="225"/>
      <c r="E29" s="215"/>
      <c r="F29" s="215"/>
      <c r="G29" s="216">
        <v>0.57999999999999996</v>
      </c>
      <c r="H29" s="216">
        <f t="shared" si="4"/>
        <v>0.42000000000000004</v>
      </c>
      <c r="I29" s="215"/>
      <c r="J29" s="215"/>
      <c r="K29" s="215"/>
    </row>
    <row r="30" spans="1:11" ht="18" x14ac:dyDescent="0.35">
      <c r="A30" s="135" t="s">
        <v>14</v>
      </c>
      <c r="B30" s="136"/>
      <c r="C30" s="136"/>
      <c r="D30" s="136"/>
      <c r="E30" s="221"/>
      <c r="F30" s="221"/>
      <c r="G30" s="222"/>
      <c r="H30" s="222"/>
      <c r="I30" s="221"/>
      <c r="J30" s="221"/>
      <c r="K30" s="221"/>
    </row>
    <row r="31" spans="1:11" ht="18.5" x14ac:dyDescent="0.35">
      <c r="A31" s="131" t="s">
        <v>363</v>
      </c>
      <c r="B31" s="225">
        <v>46280</v>
      </c>
      <c r="C31" s="225">
        <v>46325</v>
      </c>
      <c r="D31" s="225" t="s">
        <v>111</v>
      </c>
      <c r="E31" s="215">
        <v>340</v>
      </c>
      <c r="F31" s="215">
        <v>129.19999999999999</v>
      </c>
      <c r="G31" s="216">
        <f>F31/E31</f>
        <v>0.37999999999999995</v>
      </c>
      <c r="H31" s="223">
        <f>E31-F31</f>
        <v>210.8</v>
      </c>
      <c r="I31" s="215">
        <f t="shared" ref="I31:I40" ca="1" si="5">H31/(C31-(IF(B31&gt;TODAY(),B31,TODAY())))</f>
        <v>10.038095238095238</v>
      </c>
      <c r="J31" s="215">
        <f ca="1">ROUND(I31/4,0)</f>
        <v>3</v>
      </c>
      <c r="K31" s="215">
        <v>3</v>
      </c>
    </row>
    <row r="32" spans="1:11" ht="18.5" x14ac:dyDescent="0.35">
      <c r="A32" s="131" t="s">
        <v>311</v>
      </c>
      <c r="B32" s="225">
        <v>46290</v>
      </c>
      <c r="C32" s="225">
        <v>46327</v>
      </c>
      <c r="D32" s="225" t="s">
        <v>396</v>
      </c>
      <c r="E32" s="215">
        <v>350</v>
      </c>
      <c r="F32" s="215">
        <v>147</v>
      </c>
      <c r="G32" s="216">
        <f t="shared" ref="G32:G40" si="6">F32/E32</f>
        <v>0.42</v>
      </c>
      <c r="H32" s="223">
        <f>E32-F32</f>
        <v>203</v>
      </c>
      <c r="I32" s="215">
        <f t="shared" ca="1" si="5"/>
        <v>8.8260869565217384</v>
      </c>
      <c r="J32" s="215">
        <f ca="1">ROUND(I32/3,0)</f>
        <v>3</v>
      </c>
      <c r="K32" s="215">
        <v>4</v>
      </c>
    </row>
    <row r="33" spans="1:11" ht="18.5" x14ac:dyDescent="0.35">
      <c r="A33" s="131" t="s">
        <v>293</v>
      </c>
      <c r="B33" s="225">
        <v>46272</v>
      </c>
      <c r="C33" s="225">
        <v>46325</v>
      </c>
      <c r="D33" s="225" t="s">
        <v>396</v>
      </c>
      <c r="E33" s="215">
        <v>3754</v>
      </c>
      <c r="F33" s="215">
        <v>2552.7200000000003</v>
      </c>
      <c r="G33" s="216">
        <f t="shared" si="6"/>
        <v>0.68</v>
      </c>
      <c r="H33" s="223">
        <f>E33-F33</f>
        <v>1201.2799999999997</v>
      </c>
      <c r="I33" s="215">
        <f t="shared" ca="1" si="5"/>
        <v>57.203809523809511</v>
      </c>
      <c r="J33" s="215">
        <f ca="1">ROUND(I33/10,0)</f>
        <v>6</v>
      </c>
      <c r="K33" s="215">
        <v>3</v>
      </c>
    </row>
    <row r="34" spans="1:11" ht="18.5" x14ac:dyDescent="0.35">
      <c r="A34" s="131" t="s">
        <v>344</v>
      </c>
      <c r="B34" s="225">
        <v>46300</v>
      </c>
      <c r="C34" s="225">
        <v>46320</v>
      </c>
      <c r="D34" s="225" t="s">
        <v>396</v>
      </c>
      <c r="E34" s="215">
        <f>29*30.5</f>
        <v>884.5</v>
      </c>
      <c r="F34" s="215">
        <v>610.30499999999995</v>
      </c>
      <c r="G34" s="216">
        <f t="shared" si="6"/>
        <v>0.69</v>
      </c>
      <c r="H34" s="223">
        <f>E34-F34</f>
        <v>274.19500000000005</v>
      </c>
      <c r="I34" s="215">
        <f t="shared" ca="1" si="5"/>
        <v>17.137187500000003</v>
      </c>
      <c r="J34" s="215">
        <v>2</v>
      </c>
      <c r="K34" s="215">
        <v>0</v>
      </c>
    </row>
    <row r="35" spans="1:11" s="243" customFormat="1" ht="18.5" x14ac:dyDescent="0.35">
      <c r="A35" s="135" t="s">
        <v>214</v>
      </c>
      <c r="B35" s="136"/>
      <c r="C35" s="136"/>
      <c r="D35" s="136"/>
      <c r="E35" s="221"/>
      <c r="F35" s="221"/>
      <c r="G35" s="222"/>
      <c r="H35" s="222"/>
      <c r="I35" s="221"/>
      <c r="J35" s="221"/>
      <c r="K35" s="221"/>
    </row>
    <row r="36" spans="1:11" ht="18.5" x14ac:dyDescent="0.35">
      <c r="A36" s="131" t="s">
        <v>20</v>
      </c>
      <c r="B36" s="225">
        <v>46239</v>
      </c>
      <c r="C36" s="225">
        <v>46366</v>
      </c>
      <c r="D36" s="225" t="s">
        <v>396</v>
      </c>
      <c r="E36" s="215">
        <v>935</v>
      </c>
      <c r="F36" s="215">
        <v>392.7</v>
      </c>
      <c r="G36" s="216">
        <f t="shared" si="6"/>
        <v>0.42</v>
      </c>
      <c r="H36" s="223">
        <f t="shared" ref="H36:H40" si="7">E36-F36</f>
        <v>542.29999999999995</v>
      </c>
      <c r="I36" s="215">
        <f t="shared" ca="1" si="5"/>
        <v>8.7467741935483865</v>
      </c>
      <c r="J36" s="215">
        <f ca="1">ROUND(I36/3,0)</f>
        <v>3</v>
      </c>
      <c r="K36" s="215">
        <v>8</v>
      </c>
    </row>
    <row r="37" spans="1:11" ht="18.5" x14ac:dyDescent="0.35">
      <c r="A37" s="131" t="s">
        <v>21</v>
      </c>
      <c r="B37" s="225">
        <v>46252</v>
      </c>
      <c r="C37" s="225">
        <v>46368</v>
      </c>
      <c r="D37" s="225" t="s">
        <v>396</v>
      </c>
      <c r="E37" s="215">
        <v>490</v>
      </c>
      <c r="F37" s="215">
        <v>68.600000000000009</v>
      </c>
      <c r="G37" s="216">
        <f t="shared" si="6"/>
        <v>0.14000000000000001</v>
      </c>
      <c r="H37" s="223">
        <f t="shared" si="7"/>
        <v>421.4</v>
      </c>
      <c r="I37" s="215">
        <f t="shared" ca="1" si="5"/>
        <v>6.5843749999999996</v>
      </c>
      <c r="J37" s="215">
        <f t="shared" ref="J37" ca="1" si="8">ROUND(I37/3,0)</f>
        <v>2</v>
      </c>
      <c r="K37" s="215">
        <v>5</v>
      </c>
    </row>
    <row r="38" spans="1:11" s="1" customFormat="1" ht="18.5" x14ac:dyDescent="0.35">
      <c r="A38" s="131" t="s">
        <v>22</v>
      </c>
      <c r="B38" s="225">
        <v>46270</v>
      </c>
      <c r="C38" s="225">
        <v>46374</v>
      </c>
      <c r="D38" s="225" t="s">
        <v>396</v>
      </c>
      <c r="E38" s="215">
        <v>564</v>
      </c>
      <c r="F38" s="215">
        <v>112.80000000000001</v>
      </c>
      <c r="G38" s="216">
        <f t="shared" si="6"/>
        <v>0.2</v>
      </c>
      <c r="H38" s="223">
        <f t="shared" si="7"/>
        <v>451.2</v>
      </c>
      <c r="I38" s="215">
        <f t="shared" ca="1" si="5"/>
        <v>6.4457142857142857</v>
      </c>
      <c r="J38" s="215">
        <f ca="1">ROUND(I38/3,0)</f>
        <v>2</v>
      </c>
      <c r="K38" s="215">
        <v>2</v>
      </c>
    </row>
    <row r="39" spans="1:11" s="1" customFormat="1" ht="18.5" x14ac:dyDescent="0.35">
      <c r="A39" s="131" t="s">
        <v>23</v>
      </c>
      <c r="B39" s="225">
        <v>46244</v>
      </c>
      <c r="C39" s="225">
        <v>46366</v>
      </c>
      <c r="D39" s="225" t="s">
        <v>396</v>
      </c>
      <c r="E39" s="215">
        <v>485</v>
      </c>
      <c r="F39" s="215">
        <v>82.45</v>
      </c>
      <c r="G39" s="216">
        <f t="shared" si="6"/>
        <v>0.17</v>
      </c>
      <c r="H39" s="223">
        <f t="shared" si="7"/>
        <v>402.55</v>
      </c>
      <c r="I39" s="215">
        <f t="shared" ca="1" si="5"/>
        <v>6.4927419354838714</v>
      </c>
      <c r="J39" s="215">
        <f ca="1">ROUND(I39/3,0)</f>
        <v>2</v>
      </c>
      <c r="K39" s="215">
        <v>0</v>
      </c>
    </row>
    <row r="40" spans="1:11" s="1" customFormat="1" ht="18.5" x14ac:dyDescent="0.35">
      <c r="A40" s="131" t="s">
        <v>212</v>
      </c>
      <c r="B40" s="225">
        <v>46267</v>
      </c>
      <c r="C40" s="225">
        <v>46356</v>
      </c>
      <c r="D40" s="225" t="s">
        <v>398</v>
      </c>
      <c r="E40" s="215">
        <f>(70.6+77.6+70.6)*2</f>
        <v>437.59999999999997</v>
      </c>
      <c r="F40" s="215">
        <v>126.90399999999998</v>
      </c>
      <c r="G40" s="216">
        <f t="shared" si="6"/>
        <v>0.28999999999999998</v>
      </c>
      <c r="H40" s="223">
        <f t="shared" si="7"/>
        <v>310.69599999999997</v>
      </c>
      <c r="I40" s="215">
        <f t="shared" ca="1" si="5"/>
        <v>5.9749230769230763</v>
      </c>
      <c r="J40" s="215">
        <f ca="1">ROUND(I40/3,0)</f>
        <v>2</v>
      </c>
      <c r="K40" s="215">
        <v>3</v>
      </c>
    </row>
    <row r="41" spans="1:11" s="1" customFormat="1" ht="18" x14ac:dyDescent="0.35">
      <c r="A41" s="135" t="s">
        <v>317</v>
      </c>
      <c r="B41" s="136"/>
      <c r="C41" s="136"/>
      <c r="D41" s="136"/>
      <c r="E41" s="221"/>
      <c r="F41" s="221"/>
      <c r="G41" s="222"/>
      <c r="H41" s="222"/>
      <c r="I41" s="221"/>
      <c r="J41" s="221"/>
      <c r="K41" s="221"/>
    </row>
    <row r="42" spans="1:11" s="1" customFormat="1" ht="18" x14ac:dyDescent="0.35">
      <c r="A42" s="135" t="s">
        <v>318</v>
      </c>
      <c r="B42" s="136"/>
      <c r="C42" s="136"/>
      <c r="D42" s="136"/>
      <c r="E42" s="221"/>
      <c r="F42" s="221"/>
      <c r="G42" s="222"/>
      <c r="H42" s="222"/>
      <c r="I42" s="221"/>
      <c r="J42" s="221"/>
      <c r="K42" s="221"/>
    </row>
    <row r="43" spans="1:11" s="1" customFormat="1" ht="18.5" x14ac:dyDescent="0.35">
      <c r="A43" s="131" t="s">
        <v>34</v>
      </c>
      <c r="B43" s="225">
        <v>46034</v>
      </c>
      <c r="C43" s="225">
        <v>46275</v>
      </c>
      <c r="D43" s="225" t="s">
        <v>398</v>
      </c>
      <c r="E43" s="215">
        <v>1537</v>
      </c>
      <c r="F43" s="215">
        <v>1537</v>
      </c>
      <c r="G43" s="216">
        <f t="shared" ref="G43:G60" si="9">F43/E43</f>
        <v>1</v>
      </c>
      <c r="H43" s="223">
        <f t="shared" ref="H43:H49" si="10">E43-F43</f>
        <v>0</v>
      </c>
      <c r="I43" s="215">
        <f t="shared" ref="I43:I49" ca="1" si="11">H43/(C43-(IF(B43&gt;TODAY(),B43,TODAY())))</f>
        <v>0</v>
      </c>
      <c r="J43" s="223">
        <f ca="1">ROUND(I43/4,0)</f>
        <v>0</v>
      </c>
      <c r="K43" s="215">
        <v>0</v>
      </c>
    </row>
    <row r="44" spans="1:11" ht="18.5" x14ac:dyDescent="0.35">
      <c r="A44" s="131" t="s">
        <v>357</v>
      </c>
      <c r="B44" s="225">
        <v>46049</v>
      </c>
      <c r="C44" s="225">
        <v>46366</v>
      </c>
      <c r="D44" s="225" t="s">
        <v>398</v>
      </c>
      <c r="E44" s="215">
        <f>2760+1800</f>
        <v>4560</v>
      </c>
      <c r="F44" s="215">
        <v>3242.4</v>
      </c>
      <c r="G44" s="216">
        <f t="shared" si="9"/>
        <v>0.71105263157894738</v>
      </c>
      <c r="H44" s="223">
        <f t="shared" si="10"/>
        <v>1317.6</v>
      </c>
      <c r="I44" s="215">
        <f t="shared" ca="1" si="11"/>
        <v>21.251612903225805</v>
      </c>
      <c r="J44" s="223">
        <f t="shared" ref="J44:J59" ca="1" si="12">ROUND(I44/4,0)</f>
        <v>5</v>
      </c>
      <c r="K44" s="215">
        <v>4</v>
      </c>
    </row>
    <row r="45" spans="1:11" ht="18.5" x14ac:dyDescent="0.35">
      <c r="A45" s="131" t="s">
        <v>39</v>
      </c>
      <c r="B45" s="225">
        <v>46042</v>
      </c>
      <c r="C45" s="225">
        <v>46326</v>
      </c>
      <c r="D45" s="225" t="s">
        <v>396</v>
      </c>
      <c r="E45" s="215">
        <v>9830</v>
      </c>
      <c r="F45" s="215">
        <v>9633.4</v>
      </c>
      <c r="G45" s="216">
        <f t="shared" si="9"/>
        <v>0.98</v>
      </c>
      <c r="H45" s="223">
        <f t="shared" si="10"/>
        <v>196.60000000000036</v>
      </c>
      <c r="I45" s="215">
        <f t="shared" ca="1" si="11"/>
        <v>8.9363636363636534</v>
      </c>
      <c r="J45" s="223">
        <f t="shared" ca="1" si="12"/>
        <v>2</v>
      </c>
      <c r="K45" s="215">
        <v>5</v>
      </c>
    </row>
    <row r="46" spans="1:11" ht="18.5" x14ac:dyDescent="0.35">
      <c r="A46" s="131" t="s">
        <v>296</v>
      </c>
      <c r="B46" s="225">
        <v>46032</v>
      </c>
      <c r="C46" s="225">
        <v>46358</v>
      </c>
      <c r="D46" s="225" t="s">
        <v>398</v>
      </c>
      <c r="E46" s="215">
        <v>8425</v>
      </c>
      <c r="F46" s="215">
        <v>5863.25</v>
      </c>
      <c r="G46" s="216">
        <f t="shared" si="9"/>
        <v>0.69593471810089025</v>
      </c>
      <c r="H46" s="223">
        <f t="shared" si="10"/>
        <v>2561.75</v>
      </c>
      <c r="I46" s="215">
        <f t="shared" ca="1" si="11"/>
        <v>47.439814814814817</v>
      </c>
      <c r="J46" s="223">
        <f t="shared" ca="1" si="12"/>
        <v>12</v>
      </c>
      <c r="K46" s="215">
        <v>8</v>
      </c>
    </row>
    <row r="47" spans="1:11" s="1" customFormat="1" ht="18.5" x14ac:dyDescent="0.35">
      <c r="A47" s="131" t="s">
        <v>319</v>
      </c>
      <c r="B47" s="225">
        <v>46275</v>
      </c>
      <c r="C47" s="225">
        <v>46374</v>
      </c>
      <c r="D47" s="225" t="s">
        <v>398</v>
      </c>
      <c r="E47" s="215">
        <v>8263</v>
      </c>
      <c r="F47" s="215">
        <v>2523.12</v>
      </c>
      <c r="G47" s="216">
        <f t="shared" si="9"/>
        <v>0.30535156722739926</v>
      </c>
      <c r="H47" s="223">
        <f t="shared" si="10"/>
        <v>5739.88</v>
      </c>
      <c r="I47" s="215">
        <f t="shared" ca="1" si="11"/>
        <v>81.998285714285714</v>
      </c>
      <c r="J47" s="223">
        <f ca="1">ROUND(I47/4,0)</f>
        <v>20</v>
      </c>
      <c r="K47" s="215">
        <v>15</v>
      </c>
    </row>
    <row r="48" spans="1:11" s="1" customFormat="1" ht="18.5" x14ac:dyDescent="0.35">
      <c r="A48" s="131" t="s">
        <v>297</v>
      </c>
      <c r="B48" s="225">
        <v>46305</v>
      </c>
      <c r="C48" s="225">
        <v>46361</v>
      </c>
      <c r="D48" s="225" t="s">
        <v>398</v>
      </c>
      <c r="E48" s="215">
        <v>820</v>
      </c>
      <c r="F48" s="215">
        <v>32.799999999999997</v>
      </c>
      <c r="G48" s="216">
        <f t="shared" si="9"/>
        <v>3.9999999999999994E-2</v>
      </c>
      <c r="H48" s="223">
        <f t="shared" si="10"/>
        <v>787.2</v>
      </c>
      <c r="I48" s="215">
        <f t="shared" ca="1" si="11"/>
        <v>14.057142857142859</v>
      </c>
      <c r="J48" s="223">
        <f t="shared" ca="1" si="12"/>
        <v>4</v>
      </c>
      <c r="K48" s="215">
        <v>3</v>
      </c>
    </row>
    <row r="49" spans="1:11" s="1" customFormat="1" ht="18.5" x14ac:dyDescent="0.35">
      <c r="A49" s="131" t="s">
        <v>303</v>
      </c>
      <c r="B49" s="225">
        <v>46327</v>
      </c>
      <c r="C49" s="225">
        <v>46361</v>
      </c>
      <c r="D49" s="225" t="s">
        <v>396</v>
      </c>
      <c r="E49" s="215">
        <v>3121</v>
      </c>
      <c r="F49" s="215">
        <v>0</v>
      </c>
      <c r="G49" s="216">
        <f t="shared" si="9"/>
        <v>0</v>
      </c>
      <c r="H49" s="223">
        <f t="shared" si="10"/>
        <v>3121</v>
      </c>
      <c r="I49" s="215">
        <f t="shared" ca="1" si="11"/>
        <v>91.794117647058826</v>
      </c>
      <c r="J49" s="223">
        <f t="shared" ca="1" si="12"/>
        <v>23</v>
      </c>
      <c r="K49" s="215">
        <v>16</v>
      </c>
    </row>
    <row r="50" spans="1:11" s="1" customFormat="1" ht="18" x14ac:dyDescent="0.35">
      <c r="A50" s="135" t="s">
        <v>85</v>
      </c>
      <c r="B50" s="136"/>
      <c r="C50" s="136"/>
      <c r="D50" s="136"/>
      <c r="E50" s="221"/>
      <c r="F50" s="221"/>
      <c r="G50" s="222"/>
      <c r="H50" s="222"/>
      <c r="I50" s="221"/>
      <c r="J50" s="221"/>
      <c r="K50" s="221"/>
    </row>
    <row r="51" spans="1:11" s="1" customFormat="1" ht="18.5" x14ac:dyDescent="0.35">
      <c r="A51" s="131" t="s">
        <v>46</v>
      </c>
      <c r="B51" s="225">
        <v>46268</v>
      </c>
      <c r="C51" s="225">
        <v>46353</v>
      </c>
      <c r="D51" s="225" t="s">
        <v>398</v>
      </c>
      <c r="E51" s="219">
        <v>58034</v>
      </c>
      <c r="F51" s="215">
        <v>12767.48</v>
      </c>
      <c r="G51" s="216">
        <f t="shared" si="9"/>
        <v>0.22</v>
      </c>
      <c r="H51" s="223">
        <f t="shared" ref="H51:H64" si="13">E51-F51</f>
        <v>45266.520000000004</v>
      </c>
      <c r="I51" s="215">
        <f t="shared" ref="I51:I64" ca="1" si="14">H51/(C51-(IF(B51&gt;TODAY(),B51,TODAY())))</f>
        <v>923.80653061224496</v>
      </c>
      <c r="J51" s="223">
        <v>27</v>
      </c>
      <c r="K51" s="215">
        <v>18</v>
      </c>
    </row>
    <row r="52" spans="1:11" s="1" customFormat="1" ht="18.5" x14ac:dyDescent="0.35">
      <c r="A52" s="131" t="s">
        <v>320</v>
      </c>
      <c r="B52" s="225">
        <v>46270</v>
      </c>
      <c r="C52" s="225">
        <v>46347</v>
      </c>
      <c r="D52" s="225" t="s">
        <v>398</v>
      </c>
      <c r="E52" s="215">
        <v>23078</v>
      </c>
      <c r="F52" s="215">
        <v>9773.86</v>
      </c>
      <c r="G52" s="216">
        <f t="shared" si="9"/>
        <v>0.42351416933876423</v>
      </c>
      <c r="H52" s="223">
        <f t="shared" si="13"/>
        <v>13304.14</v>
      </c>
      <c r="I52" s="215">
        <f t="shared" ca="1" si="14"/>
        <v>309.39860465116277</v>
      </c>
      <c r="J52" s="223">
        <v>23</v>
      </c>
      <c r="K52" s="215">
        <v>15</v>
      </c>
    </row>
    <row r="53" spans="1:11" s="1" customFormat="1" ht="18.5" x14ac:dyDescent="0.35">
      <c r="A53" s="131" t="s">
        <v>48</v>
      </c>
      <c r="B53" s="225">
        <v>46361</v>
      </c>
      <c r="C53" s="225">
        <v>46376</v>
      </c>
      <c r="D53" s="225" t="s">
        <v>397</v>
      </c>
      <c r="E53" s="215">
        <v>4</v>
      </c>
      <c r="F53" s="215">
        <v>0</v>
      </c>
      <c r="G53" s="216">
        <f t="shared" si="9"/>
        <v>0</v>
      </c>
      <c r="H53" s="223">
        <f t="shared" si="13"/>
        <v>4</v>
      </c>
      <c r="I53" s="215">
        <f t="shared" ca="1" si="14"/>
        <v>0.26666666666666666</v>
      </c>
      <c r="J53" s="223">
        <f t="shared" ca="1" si="12"/>
        <v>0</v>
      </c>
      <c r="K53" s="215">
        <v>0</v>
      </c>
    </row>
    <row r="54" spans="1:11" ht="18.5" x14ac:dyDescent="0.35">
      <c r="A54" s="131" t="s">
        <v>298</v>
      </c>
      <c r="B54" s="225">
        <v>46230</v>
      </c>
      <c r="C54" s="225">
        <v>46365</v>
      </c>
      <c r="D54" s="225" t="s">
        <v>398</v>
      </c>
      <c r="E54" s="215">
        <v>2943</v>
      </c>
      <c r="F54" s="215">
        <v>1500.93</v>
      </c>
      <c r="G54" s="216">
        <f t="shared" si="9"/>
        <v>0.51</v>
      </c>
      <c r="H54" s="223">
        <f t="shared" si="13"/>
        <v>1442.07</v>
      </c>
      <c r="I54" s="215">
        <f t="shared" ca="1" si="14"/>
        <v>23.640491803278689</v>
      </c>
      <c r="J54" s="223">
        <f t="shared" ca="1" si="12"/>
        <v>6</v>
      </c>
      <c r="K54" s="215">
        <v>0</v>
      </c>
    </row>
    <row r="55" spans="1:11" s="1" customFormat="1" ht="18.5" x14ac:dyDescent="0.35">
      <c r="A55" s="131" t="s">
        <v>53</v>
      </c>
      <c r="B55" s="225">
        <v>46230</v>
      </c>
      <c r="C55" s="225">
        <v>46365</v>
      </c>
      <c r="D55" s="225" t="s">
        <v>397</v>
      </c>
      <c r="E55" s="215">
        <v>48</v>
      </c>
      <c r="F55" s="215">
        <v>14</v>
      </c>
      <c r="G55" s="216">
        <f t="shared" si="9"/>
        <v>0.29166666666666669</v>
      </c>
      <c r="H55" s="223">
        <f t="shared" si="13"/>
        <v>34</v>
      </c>
      <c r="I55" s="215">
        <f t="shared" ca="1" si="14"/>
        <v>0.55737704918032782</v>
      </c>
      <c r="J55" s="223">
        <f t="shared" ca="1" si="12"/>
        <v>0</v>
      </c>
      <c r="K55" s="215">
        <v>0</v>
      </c>
    </row>
    <row r="56" spans="1:11" s="1" customFormat="1" ht="18.5" x14ac:dyDescent="0.35">
      <c r="A56" s="131" t="s">
        <v>56</v>
      </c>
      <c r="B56" s="225">
        <v>46189</v>
      </c>
      <c r="C56" s="225">
        <v>46364</v>
      </c>
      <c r="D56" s="225" t="s">
        <v>398</v>
      </c>
      <c r="E56" s="215">
        <v>58362</v>
      </c>
      <c r="F56" s="215">
        <v>28013.759999999998</v>
      </c>
      <c r="G56" s="216">
        <f t="shared" si="9"/>
        <v>0.48</v>
      </c>
      <c r="H56" s="223">
        <f t="shared" si="13"/>
        <v>30348.240000000002</v>
      </c>
      <c r="I56" s="215">
        <f t="shared" ca="1" si="14"/>
        <v>505.80400000000003</v>
      </c>
      <c r="J56" s="223">
        <v>22</v>
      </c>
      <c r="K56" s="215">
        <v>19</v>
      </c>
    </row>
    <row r="57" spans="1:11" ht="18.5" x14ac:dyDescent="0.35">
      <c r="A57" s="131" t="s">
        <v>57</v>
      </c>
      <c r="B57" s="225">
        <v>46189</v>
      </c>
      <c r="C57" s="225">
        <v>46353</v>
      </c>
      <c r="D57" s="225" t="s">
        <v>398</v>
      </c>
      <c r="E57" s="215">
        <f>21280+4620</f>
        <v>25900</v>
      </c>
      <c r="F57" s="215">
        <v>16317</v>
      </c>
      <c r="G57" s="216">
        <f t="shared" si="9"/>
        <v>0.63</v>
      </c>
      <c r="H57" s="223">
        <f t="shared" si="13"/>
        <v>9583</v>
      </c>
      <c r="I57" s="215">
        <f t="shared" ca="1" si="14"/>
        <v>195.57142857142858</v>
      </c>
      <c r="J57" s="223">
        <v>18</v>
      </c>
      <c r="K57" s="215">
        <v>17</v>
      </c>
    </row>
    <row r="58" spans="1:11" ht="18.5" x14ac:dyDescent="0.35">
      <c r="A58" s="131" t="s">
        <v>58</v>
      </c>
      <c r="B58" s="225">
        <v>46305</v>
      </c>
      <c r="C58" s="225">
        <v>46321</v>
      </c>
      <c r="D58" s="225" t="s">
        <v>397</v>
      </c>
      <c r="E58" s="215">
        <v>1</v>
      </c>
      <c r="F58" s="215">
        <v>0</v>
      </c>
      <c r="G58" s="216">
        <f t="shared" si="9"/>
        <v>0</v>
      </c>
      <c r="H58" s="223">
        <f t="shared" si="13"/>
        <v>1</v>
      </c>
      <c r="I58" s="215">
        <f t="shared" ca="1" si="14"/>
        <v>6.25E-2</v>
      </c>
      <c r="J58" s="223">
        <f t="shared" ca="1" si="12"/>
        <v>0</v>
      </c>
      <c r="K58" s="215">
        <v>0</v>
      </c>
    </row>
    <row r="59" spans="1:11" ht="18.5" x14ac:dyDescent="0.35">
      <c r="A59" s="131" t="s">
        <v>325</v>
      </c>
      <c r="B59" s="225">
        <v>46310</v>
      </c>
      <c r="C59" s="225">
        <v>46367</v>
      </c>
      <c r="D59" s="225" t="s">
        <v>397</v>
      </c>
      <c r="E59" s="215">
        <v>14</v>
      </c>
      <c r="F59" s="215">
        <v>0</v>
      </c>
      <c r="G59" s="216">
        <f t="shared" si="9"/>
        <v>0</v>
      </c>
      <c r="H59" s="223">
        <f t="shared" si="13"/>
        <v>14</v>
      </c>
      <c r="I59" s="215">
        <f t="shared" ca="1" si="14"/>
        <v>0.24561403508771928</v>
      </c>
      <c r="J59" s="223">
        <f t="shared" ca="1" si="12"/>
        <v>0</v>
      </c>
      <c r="K59" s="215">
        <v>0</v>
      </c>
    </row>
    <row r="60" spans="1:11" ht="18.5" x14ac:dyDescent="0.35">
      <c r="A60" s="131" t="s">
        <v>86</v>
      </c>
      <c r="B60" s="225">
        <v>46346</v>
      </c>
      <c r="C60" s="225">
        <v>46366</v>
      </c>
      <c r="D60" s="225" t="s">
        <v>420</v>
      </c>
      <c r="E60" s="215">
        <v>1</v>
      </c>
      <c r="F60" s="215">
        <v>0</v>
      </c>
      <c r="G60" s="216">
        <f t="shared" si="9"/>
        <v>0</v>
      </c>
      <c r="H60" s="223">
        <f t="shared" si="13"/>
        <v>1</v>
      </c>
      <c r="I60" s="215">
        <f t="shared" ca="1" si="14"/>
        <v>0.05</v>
      </c>
      <c r="J60" s="223">
        <f t="shared" ref="J60" ca="1" si="15">ROUND(I60/4,0)</f>
        <v>0</v>
      </c>
      <c r="K60" s="215">
        <v>0</v>
      </c>
    </row>
    <row r="61" spans="1:11" ht="18" x14ac:dyDescent="0.35">
      <c r="A61" s="135" t="s">
        <v>90</v>
      </c>
      <c r="B61" s="136"/>
      <c r="C61" s="136"/>
      <c r="D61" s="136"/>
      <c r="E61" s="221"/>
      <c r="F61" s="221"/>
      <c r="G61" s="222"/>
      <c r="H61" s="222"/>
      <c r="I61" s="221"/>
      <c r="J61" s="221"/>
      <c r="K61" s="221"/>
    </row>
    <row r="62" spans="1:11" ht="18.5" x14ac:dyDescent="0.35">
      <c r="A62" s="131" t="s">
        <v>91</v>
      </c>
      <c r="B62" s="225">
        <v>46310</v>
      </c>
      <c r="C62" s="225">
        <v>46351</v>
      </c>
      <c r="D62" s="225" t="s">
        <v>398</v>
      </c>
      <c r="E62" s="215">
        <v>2250</v>
      </c>
      <c r="F62" s="215">
        <v>1012.5</v>
      </c>
      <c r="G62" s="216">
        <v>0.45</v>
      </c>
      <c r="H62" s="223">
        <f t="shared" si="13"/>
        <v>1237.5</v>
      </c>
      <c r="I62" s="215">
        <f t="shared" ca="1" si="14"/>
        <v>30.182926829268293</v>
      </c>
      <c r="J62" s="223">
        <f ca="1">ROUND(I62/10,0)</f>
        <v>3</v>
      </c>
      <c r="K62" s="215">
        <v>5</v>
      </c>
    </row>
    <row r="63" spans="1:11" ht="18.5" x14ac:dyDescent="0.35">
      <c r="A63" s="131" t="s">
        <v>34</v>
      </c>
      <c r="B63" s="225">
        <v>46310</v>
      </c>
      <c r="C63" s="225">
        <v>46347</v>
      </c>
      <c r="D63" s="225" t="s">
        <v>398</v>
      </c>
      <c r="E63" s="215">
        <v>756</v>
      </c>
      <c r="F63" s="215">
        <v>756</v>
      </c>
      <c r="G63" s="216">
        <v>1</v>
      </c>
      <c r="H63" s="223">
        <f t="shared" si="13"/>
        <v>0</v>
      </c>
      <c r="I63" s="215">
        <f t="shared" ca="1" si="14"/>
        <v>0</v>
      </c>
      <c r="J63" s="223">
        <f t="shared" ref="J63:J64" ca="1" si="16">ROUND(I63/10,0)</f>
        <v>0</v>
      </c>
      <c r="K63" s="215">
        <v>0</v>
      </c>
    </row>
    <row r="64" spans="1:11" ht="18.5" x14ac:dyDescent="0.35">
      <c r="A64" s="131" t="s">
        <v>93</v>
      </c>
      <c r="B64" s="225">
        <v>46331</v>
      </c>
      <c r="C64" s="225">
        <v>46372</v>
      </c>
      <c r="D64" s="225" t="s">
        <v>397</v>
      </c>
      <c r="E64" s="215">
        <v>128</v>
      </c>
      <c r="F64" s="215">
        <v>0</v>
      </c>
      <c r="G64" s="216">
        <v>0</v>
      </c>
      <c r="H64" s="223">
        <f t="shared" si="13"/>
        <v>128</v>
      </c>
      <c r="I64" s="215">
        <f t="shared" ca="1" si="14"/>
        <v>3.1219512195121952</v>
      </c>
      <c r="J64" s="223">
        <f t="shared" ca="1" si="16"/>
        <v>0</v>
      </c>
      <c r="K64" s="215">
        <v>0</v>
      </c>
    </row>
    <row r="65" spans="1:11" s="243" customFormat="1" ht="18.5" x14ac:dyDescent="0.35">
      <c r="A65" s="135" t="s">
        <v>328</v>
      </c>
      <c r="B65" s="136"/>
      <c r="C65" s="136"/>
      <c r="D65" s="136"/>
      <c r="E65" s="221"/>
      <c r="F65" s="221"/>
      <c r="G65" s="222"/>
      <c r="H65" s="222"/>
      <c r="I65" s="221"/>
      <c r="J65" s="221"/>
      <c r="K65" s="221"/>
    </row>
    <row r="66" spans="1:11" ht="18.5" x14ac:dyDescent="0.35">
      <c r="A66" s="131" t="s">
        <v>351</v>
      </c>
      <c r="B66" s="225">
        <v>46295</v>
      </c>
      <c r="C66" s="225">
        <v>46331</v>
      </c>
      <c r="D66" s="225" t="s">
        <v>397</v>
      </c>
      <c r="E66" s="215">
        <v>2</v>
      </c>
      <c r="F66" s="215"/>
      <c r="G66" s="216">
        <v>7.0000000000000007E-2</v>
      </c>
      <c r="H66" s="216">
        <f>100%-G66</f>
        <v>0.92999999999999994</v>
      </c>
      <c r="I66" s="216">
        <f ca="1">(1-H66)*E66/(C66-(IF(B66&gt;TODAY(),B66,TODAY())))</f>
        <v>5.1851851851851894E-3</v>
      </c>
      <c r="J66" s="215">
        <v>4</v>
      </c>
      <c r="K66" s="215">
        <v>6</v>
      </c>
    </row>
    <row r="67" spans="1:11" ht="18.5" x14ac:dyDescent="0.35">
      <c r="A67" s="131" t="s">
        <v>352</v>
      </c>
      <c r="B67" s="225">
        <v>46302</v>
      </c>
      <c r="C67" s="225">
        <v>46344</v>
      </c>
      <c r="D67" s="225" t="s">
        <v>397</v>
      </c>
      <c r="E67" s="215">
        <v>1</v>
      </c>
      <c r="F67" s="215"/>
      <c r="G67" s="216">
        <v>0</v>
      </c>
      <c r="H67" s="216">
        <f t="shared" ref="H67:H71" si="17">100%-G67</f>
        <v>1</v>
      </c>
      <c r="I67" s="216">
        <f t="shared" ref="I67:I71" ca="1" si="18">(1-H67)*E67/(C67-(IF(B67&gt;TODAY(),B67,TODAY())))</f>
        <v>0</v>
      </c>
      <c r="J67" s="215">
        <v>0</v>
      </c>
      <c r="K67" s="215"/>
    </row>
    <row r="68" spans="1:11" ht="18.5" x14ac:dyDescent="0.35">
      <c r="A68" s="131" t="s">
        <v>351</v>
      </c>
      <c r="B68" s="225">
        <v>46306</v>
      </c>
      <c r="C68" s="225">
        <v>46354</v>
      </c>
      <c r="D68" s="225" t="s">
        <v>397</v>
      </c>
      <c r="E68" s="215">
        <v>2</v>
      </c>
      <c r="F68" s="215"/>
      <c r="G68" s="216">
        <v>0</v>
      </c>
      <c r="H68" s="216">
        <f t="shared" si="17"/>
        <v>1</v>
      </c>
      <c r="I68" s="216">
        <f t="shared" ca="1" si="18"/>
        <v>0</v>
      </c>
      <c r="J68" s="215">
        <v>0</v>
      </c>
      <c r="K68" s="215"/>
    </row>
    <row r="69" spans="1:11" ht="18.5" x14ac:dyDescent="0.35">
      <c r="A69" s="131" t="s">
        <v>351</v>
      </c>
      <c r="B69" s="225">
        <v>46341</v>
      </c>
      <c r="C69" s="225">
        <v>46377</v>
      </c>
      <c r="D69" s="225" t="s">
        <v>397</v>
      </c>
      <c r="E69" s="215">
        <v>2</v>
      </c>
      <c r="F69" s="215"/>
      <c r="G69" s="216">
        <v>0</v>
      </c>
      <c r="H69" s="216">
        <f t="shared" si="17"/>
        <v>1</v>
      </c>
      <c r="I69" s="216">
        <f t="shared" ca="1" si="18"/>
        <v>0</v>
      </c>
      <c r="J69" s="215">
        <v>0</v>
      </c>
      <c r="K69" s="215"/>
    </row>
    <row r="70" spans="1:11" ht="18.5" x14ac:dyDescent="0.35">
      <c r="A70" s="131" t="s">
        <v>351</v>
      </c>
      <c r="B70" s="225">
        <v>46319</v>
      </c>
      <c r="C70" s="225">
        <f>B70+45</f>
        <v>46364</v>
      </c>
      <c r="D70" s="225" t="s">
        <v>397</v>
      </c>
      <c r="E70" s="215">
        <v>2</v>
      </c>
      <c r="F70" s="215"/>
      <c r="G70" s="216">
        <v>0</v>
      </c>
      <c r="H70" s="216">
        <f t="shared" si="17"/>
        <v>1</v>
      </c>
      <c r="I70" s="216">
        <f t="shared" ca="1" si="18"/>
        <v>0</v>
      </c>
      <c r="J70" s="215">
        <v>0</v>
      </c>
      <c r="K70" s="215"/>
    </row>
    <row r="71" spans="1:11" ht="18.5" x14ac:dyDescent="0.35">
      <c r="A71" s="131" t="s">
        <v>361</v>
      </c>
      <c r="B71" s="225">
        <v>46323</v>
      </c>
      <c r="C71" s="225">
        <f>B71+50</f>
        <v>46373</v>
      </c>
      <c r="D71" s="225" t="s">
        <v>397</v>
      </c>
      <c r="E71" s="215">
        <v>2</v>
      </c>
      <c r="F71" s="215"/>
      <c r="G71" s="216">
        <v>0</v>
      </c>
      <c r="H71" s="216">
        <f t="shared" si="17"/>
        <v>1</v>
      </c>
      <c r="I71" s="216">
        <f t="shared" ca="1" si="18"/>
        <v>0</v>
      </c>
      <c r="J71" s="215">
        <v>0</v>
      </c>
      <c r="K71" s="215"/>
    </row>
    <row r="72" spans="1:11" s="243" customFormat="1" ht="18.5" x14ac:dyDescent="0.35">
      <c r="A72" s="135" t="s">
        <v>343</v>
      </c>
      <c r="B72" s="136"/>
      <c r="C72" s="136"/>
      <c r="D72" s="136"/>
      <c r="E72" s="221"/>
      <c r="F72" s="221"/>
      <c r="G72" s="222"/>
      <c r="H72" s="222"/>
      <c r="I72" s="221"/>
      <c r="J72" s="221"/>
      <c r="K72" s="221"/>
    </row>
    <row r="73" spans="1:11" ht="18.5" x14ac:dyDescent="0.35">
      <c r="A73" s="131" t="s">
        <v>353</v>
      </c>
      <c r="B73" s="225">
        <v>46275</v>
      </c>
      <c r="C73" s="225">
        <v>46303</v>
      </c>
      <c r="D73" s="225"/>
      <c r="E73" s="215"/>
      <c r="F73" s="215"/>
      <c r="G73" s="216"/>
      <c r="H73" s="216"/>
      <c r="I73" s="215"/>
      <c r="J73" s="215"/>
      <c r="K73" s="215"/>
    </row>
    <row r="74" spans="1:11" ht="18.5" x14ac:dyDescent="0.35">
      <c r="A74" s="131" t="s">
        <v>302</v>
      </c>
      <c r="B74" s="225">
        <v>46320</v>
      </c>
      <c r="C74" s="225">
        <v>46336</v>
      </c>
      <c r="D74" s="225"/>
      <c r="E74" s="215"/>
      <c r="F74" s="215"/>
      <c r="G74" s="216"/>
      <c r="H74" s="216"/>
      <c r="I74" s="215"/>
      <c r="J74" s="215"/>
      <c r="K74" s="215"/>
    </row>
    <row r="75" spans="1:11" ht="18.5" x14ac:dyDescent="0.35">
      <c r="A75" s="131" t="s">
        <v>334</v>
      </c>
      <c r="B75" s="225">
        <v>46323</v>
      </c>
      <c r="C75" s="225">
        <v>46341</v>
      </c>
      <c r="D75" s="225"/>
      <c r="E75" s="215"/>
      <c r="F75" s="215"/>
      <c r="G75" s="216"/>
      <c r="H75" s="216"/>
      <c r="I75" s="215"/>
      <c r="J75" s="215"/>
      <c r="K75" s="215"/>
    </row>
    <row r="76" spans="1:11" s="243" customFormat="1" ht="18.5" x14ac:dyDescent="0.35">
      <c r="A76" s="16" t="s">
        <v>336</v>
      </c>
      <c r="B76" s="17"/>
      <c r="C76" s="17"/>
      <c r="D76" s="17"/>
      <c r="E76" s="244"/>
      <c r="F76" s="244"/>
      <c r="G76" s="245"/>
      <c r="H76" s="245"/>
      <c r="I76" s="244"/>
      <c r="J76" s="244"/>
      <c r="K76" s="244"/>
    </row>
    <row r="77" spans="1:11" ht="18.5" x14ac:dyDescent="0.35">
      <c r="A77" s="131" t="s">
        <v>337</v>
      </c>
      <c r="B77" s="225">
        <v>46357</v>
      </c>
      <c r="C77" s="225">
        <v>46380</v>
      </c>
      <c r="D77" s="225"/>
      <c r="E77" s="215"/>
      <c r="F77" s="215"/>
      <c r="G77" s="216"/>
      <c r="H77" s="216"/>
      <c r="I77" s="215"/>
      <c r="J77" s="215"/>
      <c r="K77" s="215"/>
    </row>
    <row r="78" spans="1:11" ht="18.5" x14ac:dyDescent="0.35">
      <c r="A78" s="131" t="s">
        <v>339</v>
      </c>
      <c r="B78" s="225">
        <v>46351</v>
      </c>
      <c r="C78" s="225">
        <v>46376</v>
      </c>
      <c r="D78" s="225"/>
      <c r="E78" s="215"/>
      <c r="F78" s="215"/>
      <c r="G78" s="216"/>
      <c r="H78" s="216"/>
      <c r="I78" s="215"/>
      <c r="J78" s="215"/>
      <c r="K78" s="215"/>
    </row>
    <row r="79" spans="1:11" ht="18.5" x14ac:dyDescent="0.35">
      <c r="A79" s="131" t="s">
        <v>338</v>
      </c>
      <c r="B79" s="225">
        <v>46361</v>
      </c>
      <c r="C79" s="225">
        <v>46380</v>
      </c>
      <c r="D79" s="225"/>
      <c r="E79" s="215"/>
      <c r="F79" s="215"/>
      <c r="G79" s="216"/>
      <c r="H79" s="216"/>
      <c r="I79" s="215"/>
      <c r="J79" s="215"/>
      <c r="K79" s="215"/>
    </row>
    <row r="80" spans="1:11" ht="18.5" x14ac:dyDescent="0.35">
      <c r="A80" s="131" t="s">
        <v>340</v>
      </c>
      <c r="B80" s="225">
        <v>46346</v>
      </c>
      <c r="C80" s="225">
        <v>46376</v>
      </c>
      <c r="D80" s="225"/>
      <c r="E80" s="215"/>
      <c r="F80" s="215"/>
      <c r="G80" s="216"/>
      <c r="H80" s="216"/>
      <c r="I80" s="215"/>
      <c r="J80" s="215"/>
      <c r="K80" s="215"/>
    </row>
    <row r="1048544" spans="7:7" ht="30" customHeight="1" x14ac:dyDescent="0.4">
      <c r="G1048544" s="216" t="e">
        <f>VLOOKUP(A1048544,'EMR - Activity wise'!$A$7:$E$83,5,FALSE)</f>
        <v>#N/A</v>
      </c>
    </row>
  </sheetData>
  <mergeCells count="11">
    <mergeCell ref="K3:K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</mergeCells>
  <dataValidations count="5">
    <dataValidation allowBlank="1" showInputMessage="1" showErrorMessage="1" prompt="Title of the project. Enter a new title in this cell. Highlight a period in H2. Chart legend is in J2 to AI2" sqref="A1" xr:uid="{C172A543-7AF7-4749-9BC3-251D9063237E}"/>
    <dataValidation allowBlank="1" showInputMessage="1" showErrorMessage="1" prompt="Enter plan start period in column C, starting with cell C5" sqref="B3:B4 B31" xr:uid="{5233BB70-9249-426A-A6B8-9411BD469A3E}"/>
    <dataValidation allowBlank="1" showInputMessage="1" showErrorMessage="1" prompt="Enter activity in column B, starting with cell B5_x000a_" sqref="A3:A4 A40 A31" xr:uid="{8ECF62D4-D993-4CF5-AD83-AAF78886CCCE}"/>
    <dataValidation allowBlank="1" showInputMessage="1" showErrorMessage="1" prompt="Enter actual duration period in column F, starting with cell F5" sqref="K31 C31:F31 C3:H4 H31:H34 K3:K4 F32:F34 H36:H40" xr:uid="{19D67FA7-C569-48DC-9BA7-490704240B61}"/>
    <dataValidation allowBlank="1" showInputMessage="1" showErrorMessage="1" prompt="Select a period to highlight in H2. A Chart legend is in J2 to AI2" sqref="A2:H2 K2" xr:uid="{221B6C37-4E97-493F-9587-17560817E681}"/>
  </dataValidations>
  <printOptions horizontalCentered="1"/>
  <pageMargins left="0.45" right="0.45" top="0.5" bottom="0.5" header="0.3" footer="0.3"/>
  <pageSetup paperSize="8" fitToHeight="0" orientation="landscape" r:id="rId1"/>
  <headerFooter differentFirst="1">
    <oddFooter>&amp;L_x000D_&amp;1#&amp;"Aptos"&amp;8&amp;K000000 Sensitivity: LNT Construction Internal Use</oddFooter>
    <firstFooter>&amp;L_x000D_&amp;1#&amp;"Aptos"&amp;8&amp;K000000 Sensitivity: LNT Construction Internal Use</first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3571D-85BC-40CE-9E7F-9EE9D27D210E}">
  <sheetPr>
    <tabColor theme="7"/>
    <pageSetUpPr fitToPage="1"/>
  </sheetPr>
  <dimension ref="B1:AC63"/>
  <sheetViews>
    <sheetView showGridLines="0" zoomScale="62" zoomScaleNormal="70" zoomScaleSheetLayoutView="80" workbookViewId="0">
      <pane xSplit="6" ySplit="4" topLeftCell="G29" activePane="bottomRight" state="frozen"/>
      <selection pane="topRight" activeCell="I1" sqref="I1"/>
      <selection pane="bottomLeft" activeCell="A5" sqref="A5"/>
      <selection pane="bottomRight" activeCell="C55" sqref="C55"/>
    </sheetView>
  </sheetViews>
  <sheetFormatPr defaultColWidth="2.75" defaultRowHeight="30" customHeight="1" x14ac:dyDescent="0.4"/>
  <cols>
    <col min="1" max="1" width="2.58203125" customWidth="1"/>
    <col min="2" max="2" width="27.33203125" style="2" customWidth="1"/>
    <col min="3" max="3" width="15.33203125" style="1" customWidth="1"/>
    <col min="4" max="4" width="13.33203125" customWidth="1"/>
    <col min="5" max="5" width="15.58203125" style="3" customWidth="1"/>
    <col min="6" max="6" width="33.08203125" style="3" customWidth="1"/>
    <col min="7" max="7" width="8.58203125" style="1" bestFit="1" customWidth="1"/>
    <col min="8" max="10" width="8.25" style="1" bestFit="1" customWidth="1"/>
    <col min="11" max="11" width="8.58203125" style="1" bestFit="1" customWidth="1"/>
    <col min="12" max="12" width="8.25" style="1" bestFit="1" customWidth="1"/>
    <col min="13" max="13" width="8.58203125" style="1" bestFit="1" customWidth="1"/>
    <col min="14" max="14" width="8.25" style="1" bestFit="1" customWidth="1"/>
    <col min="15" max="15" width="8.58203125" style="1" bestFit="1" customWidth="1"/>
    <col min="16" max="23" width="9.5" style="1" bestFit="1" customWidth="1"/>
  </cols>
  <sheetData>
    <row r="1" spans="2:29" ht="30.75" customHeight="1" x14ac:dyDescent="1.2">
      <c r="B1" s="47" t="s">
        <v>286</v>
      </c>
      <c r="C1" s="48"/>
      <c r="D1" s="49"/>
      <c r="E1" s="48"/>
      <c r="F1" s="48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5"/>
      <c r="U1" s="45"/>
      <c r="V1" s="45"/>
      <c r="W1" s="46"/>
      <c r="X1" s="21"/>
      <c r="Y1" s="14"/>
      <c r="Z1" s="14"/>
      <c r="AA1" s="14"/>
      <c r="AB1" s="14"/>
      <c r="AC1" s="14"/>
    </row>
    <row r="2" spans="2:29" ht="32" x14ac:dyDescent="0.4">
      <c r="B2" s="37"/>
      <c r="C2" s="37"/>
      <c r="D2" s="37"/>
      <c r="E2" s="38" t="s">
        <v>2</v>
      </c>
      <c r="F2" s="38"/>
      <c r="G2" s="39">
        <v>46296</v>
      </c>
      <c r="H2" s="40"/>
      <c r="I2" s="41"/>
      <c r="J2" s="42" t="s">
        <v>5</v>
      </c>
      <c r="K2" s="42"/>
      <c r="L2" s="43"/>
      <c r="M2" s="261" t="s">
        <v>32</v>
      </c>
      <c r="N2" s="261"/>
      <c r="O2" s="261"/>
      <c r="P2" s="21"/>
      <c r="Q2" s="21"/>
      <c r="R2" s="21"/>
      <c r="S2" s="21"/>
      <c r="T2" s="21"/>
      <c r="U2" s="21"/>
      <c r="V2" s="21"/>
      <c r="W2" s="21"/>
      <c r="X2" s="21"/>
      <c r="Y2" s="14"/>
      <c r="Z2" s="14"/>
      <c r="AA2" s="14"/>
      <c r="AB2" s="14"/>
      <c r="AC2" s="14"/>
    </row>
    <row r="3" spans="2:29" s="11" customFormat="1" ht="16" x14ac:dyDescent="0.4">
      <c r="B3" s="247" t="s">
        <v>1</v>
      </c>
      <c r="C3" s="248" t="s">
        <v>3</v>
      </c>
      <c r="D3" s="248" t="s">
        <v>31</v>
      </c>
      <c r="E3" s="248" t="s">
        <v>4</v>
      </c>
      <c r="F3" s="248" t="s">
        <v>97</v>
      </c>
      <c r="G3" s="12" t="s">
        <v>0</v>
      </c>
      <c r="H3" s="13"/>
      <c r="I3" s="24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</row>
    <row r="4" spans="2:29" ht="38.15" customHeight="1" x14ac:dyDescent="0.35">
      <c r="B4" s="247"/>
      <c r="C4" s="248"/>
      <c r="D4" s="248"/>
      <c r="E4" s="248"/>
      <c r="F4" s="248"/>
      <c r="G4" s="22">
        <v>45901</v>
      </c>
      <c r="H4" s="22">
        <f>EDATE(G4,1)</f>
        <v>45931</v>
      </c>
      <c r="I4" s="22">
        <f t="shared" ref="I4:V4" si="0">EDATE(H4,1)</f>
        <v>45962</v>
      </c>
      <c r="J4" s="22">
        <f t="shared" si="0"/>
        <v>45992</v>
      </c>
      <c r="K4" s="22">
        <f t="shared" si="0"/>
        <v>46023</v>
      </c>
      <c r="L4" s="22">
        <f t="shared" si="0"/>
        <v>46054</v>
      </c>
      <c r="M4" s="22">
        <f t="shared" si="0"/>
        <v>46082</v>
      </c>
      <c r="N4" s="22">
        <f t="shared" si="0"/>
        <v>46113</v>
      </c>
      <c r="O4" s="22">
        <f t="shared" si="0"/>
        <v>46143</v>
      </c>
      <c r="P4" s="22">
        <f t="shared" si="0"/>
        <v>46174</v>
      </c>
      <c r="Q4" s="22">
        <f t="shared" si="0"/>
        <v>46204</v>
      </c>
      <c r="R4" s="22">
        <f t="shared" si="0"/>
        <v>46235</v>
      </c>
      <c r="S4" s="22">
        <f t="shared" si="0"/>
        <v>46266</v>
      </c>
      <c r="T4" s="22">
        <f t="shared" si="0"/>
        <v>46296</v>
      </c>
      <c r="U4" s="22">
        <f t="shared" si="0"/>
        <v>46327</v>
      </c>
      <c r="V4" s="22">
        <f t="shared" si="0"/>
        <v>46357</v>
      </c>
      <c r="W4" s="23"/>
    </row>
    <row r="5" spans="2:29" ht="23" x14ac:dyDescent="0.35">
      <c r="B5" s="8" t="s">
        <v>6</v>
      </c>
      <c r="C5" s="7"/>
      <c r="D5" s="19"/>
      <c r="E5" s="15">
        <v>1</v>
      </c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2:29" ht="30" customHeight="1" x14ac:dyDescent="0.35">
      <c r="B6" s="4" t="s">
        <v>7</v>
      </c>
      <c r="C6" s="5"/>
      <c r="D6" s="5"/>
      <c r="E6" s="6"/>
      <c r="F6" s="6"/>
    </row>
    <row r="7" spans="2:29" ht="42" customHeight="1" x14ac:dyDescent="0.35">
      <c r="B7" s="25" t="s">
        <v>8</v>
      </c>
      <c r="C7" s="34">
        <v>45843</v>
      </c>
      <c r="D7" s="34">
        <v>46295</v>
      </c>
      <c r="E7" s="35">
        <v>0.95</v>
      </c>
      <c r="F7" s="35"/>
    </row>
    <row r="8" spans="2:29" ht="30" customHeight="1" x14ac:dyDescent="0.35">
      <c r="B8" s="25" t="s">
        <v>9</v>
      </c>
      <c r="C8" s="34">
        <v>45881</v>
      </c>
      <c r="D8" s="34">
        <v>46305</v>
      </c>
      <c r="E8" s="35">
        <v>0.84</v>
      </c>
      <c r="F8" s="35"/>
    </row>
    <row r="9" spans="2:29" ht="30" customHeight="1" x14ac:dyDescent="0.35">
      <c r="B9" s="25" t="s">
        <v>74</v>
      </c>
      <c r="C9" s="34">
        <v>46091</v>
      </c>
      <c r="D9" s="34">
        <v>46371</v>
      </c>
      <c r="E9" s="35">
        <v>0.55000000000000004</v>
      </c>
      <c r="F9" s="35"/>
    </row>
    <row r="10" spans="2:29" ht="18.5" x14ac:dyDescent="0.35">
      <c r="B10" s="25" t="s">
        <v>10</v>
      </c>
      <c r="C10" s="34">
        <v>46072</v>
      </c>
      <c r="D10" s="34">
        <v>46371</v>
      </c>
      <c r="E10" s="35">
        <v>0.45</v>
      </c>
      <c r="F10" s="35"/>
      <c r="W10"/>
    </row>
    <row r="11" spans="2:29" ht="18.5" x14ac:dyDescent="0.35">
      <c r="B11" s="25" t="s">
        <v>75</v>
      </c>
      <c r="C11" s="34">
        <v>46063</v>
      </c>
      <c r="D11" s="34">
        <v>46356</v>
      </c>
      <c r="E11" s="35">
        <v>0.65</v>
      </c>
      <c r="F11" s="35"/>
      <c r="W11"/>
    </row>
    <row r="12" spans="2:29" ht="18.5" x14ac:dyDescent="0.35">
      <c r="B12" s="25" t="s">
        <v>11</v>
      </c>
      <c r="C12" s="34">
        <v>46193</v>
      </c>
      <c r="D12" s="34">
        <v>46356</v>
      </c>
      <c r="E12" s="35">
        <v>0.2</v>
      </c>
      <c r="F12" s="35"/>
      <c r="X12" s="1"/>
      <c r="Y12" s="1"/>
      <c r="Z12" s="1"/>
      <c r="AA12" s="1"/>
    </row>
    <row r="13" spans="2:29" ht="30" hidden="1" customHeight="1" x14ac:dyDescent="0.35">
      <c r="B13" s="25" t="s">
        <v>76</v>
      </c>
      <c r="C13" s="34"/>
      <c r="D13" s="34"/>
      <c r="E13" s="35"/>
      <c r="F13" s="35"/>
      <c r="X13" s="1"/>
      <c r="Y13" s="1"/>
      <c r="Z13" s="1"/>
      <c r="AA13" s="1"/>
    </row>
    <row r="14" spans="2:29" ht="30" hidden="1" customHeight="1" x14ac:dyDescent="0.35">
      <c r="B14" s="25" t="s">
        <v>77</v>
      </c>
      <c r="C14" s="34"/>
      <c r="D14" s="34"/>
      <c r="E14" s="35"/>
      <c r="F14" s="35"/>
      <c r="X14" s="1"/>
      <c r="Y14" s="1"/>
      <c r="Z14" s="1"/>
      <c r="AA14" s="1"/>
    </row>
    <row r="15" spans="2:29" ht="30" hidden="1" customHeight="1" x14ac:dyDescent="0.35">
      <c r="B15" s="25" t="s">
        <v>78</v>
      </c>
      <c r="C15" s="34"/>
      <c r="D15" s="34"/>
      <c r="E15" s="35"/>
      <c r="F15" s="35"/>
      <c r="X15" s="1"/>
      <c r="Y15" s="1"/>
      <c r="Z15" s="1"/>
      <c r="AA15" s="1"/>
    </row>
    <row r="16" spans="2:29" ht="30" hidden="1" customHeight="1" x14ac:dyDescent="0.35">
      <c r="B16" s="25" t="s">
        <v>79</v>
      </c>
      <c r="C16" s="34"/>
      <c r="D16" s="34"/>
      <c r="E16" s="35"/>
      <c r="F16" s="35"/>
      <c r="X16" s="1"/>
      <c r="Y16" s="1"/>
      <c r="Z16" s="1"/>
      <c r="AA16" s="1"/>
    </row>
    <row r="17" spans="2:6" ht="30" customHeight="1" x14ac:dyDescent="0.35">
      <c r="B17" s="25" t="s">
        <v>13</v>
      </c>
      <c r="C17" s="34"/>
      <c r="D17" s="34"/>
      <c r="E17" s="35"/>
      <c r="F17" s="35"/>
    </row>
    <row r="18" spans="2:6" ht="30" customHeight="1" x14ac:dyDescent="0.35">
      <c r="B18" s="16" t="s">
        <v>14</v>
      </c>
      <c r="C18" s="17"/>
      <c r="D18" s="17"/>
      <c r="E18" s="18"/>
      <c r="F18" s="18"/>
    </row>
    <row r="19" spans="2:6" ht="30" customHeight="1" x14ac:dyDescent="0.35">
      <c r="B19" s="25" t="s">
        <v>15</v>
      </c>
      <c r="C19" s="34"/>
      <c r="D19" s="34"/>
      <c r="E19" s="35"/>
      <c r="F19" s="35"/>
    </row>
    <row r="20" spans="2:6" ht="42.75" customHeight="1" x14ac:dyDescent="0.35">
      <c r="B20" s="25" t="s">
        <v>16</v>
      </c>
      <c r="C20" s="34"/>
      <c r="D20" s="34"/>
      <c r="E20" s="35"/>
      <c r="F20" s="35"/>
    </row>
    <row r="21" spans="2:6" ht="30" customHeight="1" x14ac:dyDescent="0.35">
      <c r="B21" s="25" t="s">
        <v>17</v>
      </c>
      <c r="C21" s="34"/>
      <c r="D21" s="34"/>
      <c r="E21" s="35"/>
      <c r="F21" s="35"/>
    </row>
    <row r="22" spans="2:6" ht="30" customHeight="1" x14ac:dyDescent="0.35">
      <c r="B22" s="25" t="s">
        <v>18</v>
      </c>
      <c r="C22" s="34"/>
      <c r="D22" s="34"/>
      <c r="E22" s="35"/>
      <c r="F22" s="35"/>
    </row>
    <row r="23" spans="2:6" ht="30" customHeight="1" x14ac:dyDescent="0.35">
      <c r="B23" s="25" t="s">
        <v>19</v>
      </c>
      <c r="C23" s="34"/>
      <c r="D23" s="34"/>
      <c r="E23" s="35"/>
      <c r="F23" s="35"/>
    </row>
    <row r="24" spans="2:6" ht="30" customHeight="1" x14ac:dyDescent="0.35">
      <c r="B24" s="25" t="s">
        <v>98</v>
      </c>
      <c r="C24" s="34"/>
      <c r="D24" s="34"/>
      <c r="E24" s="35"/>
      <c r="F24" s="35"/>
    </row>
    <row r="25" spans="2:6" ht="30" hidden="1" customHeight="1" x14ac:dyDescent="0.35">
      <c r="B25" s="25" t="s">
        <v>20</v>
      </c>
      <c r="C25" s="34"/>
      <c r="D25" s="34"/>
      <c r="E25" s="35"/>
      <c r="F25" s="35"/>
    </row>
    <row r="26" spans="2:6" ht="30" hidden="1" customHeight="1" x14ac:dyDescent="0.35">
      <c r="B26" s="25" t="s">
        <v>21</v>
      </c>
      <c r="C26" s="34"/>
      <c r="D26" s="34"/>
      <c r="E26" s="35"/>
      <c r="F26" s="35"/>
    </row>
    <row r="27" spans="2:6" ht="30" hidden="1" customHeight="1" x14ac:dyDescent="0.35">
      <c r="B27" s="25" t="s">
        <v>22</v>
      </c>
      <c r="C27" s="34"/>
      <c r="D27" s="34"/>
      <c r="E27" s="35"/>
      <c r="F27" s="35"/>
    </row>
    <row r="28" spans="2:6" ht="30" hidden="1" customHeight="1" x14ac:dyDescent="0.35">
      <c r="B28" s="25" t="s">
        <v>23</v>
      </c>
      <c r="C28" s="34"/>
      <c r="D28" s="34"/>
      <c r="E28" s="35"/>
      <c r="F28" s="35"/>
    </row>
    <row r="29" spans="2:6" ht="30" customHeight="1" x14ac:dyDescent="0.35">
      <c r="B29" s="25" t="s">
        <v>29</v>
      </c>
      <c r="C29" s="34"/>
      <c r="D29" s="34"/>
      <c r="E29" s="35"/>
      <c r="F29" s="35"/>
    </row>
    <row r="30" spans="2:6" ht="30" hidden="1" customHeight="1" x14ac:dyDescent="0.35">
      <c r="B30" s="25" t="s">
        <v>20</v>
      </c>
      <c r="C30" s="36"/>
      <c r="D30" s="36"/>
      <c r="E30" s="35"/>
      <c r="F30" s="35"/>
    </row>
    <row r="31" spans="2:6" ht="30" hidden="1" customHeight="1" x14ac:dyDescent="0.35">
      <c r="B31" s="25" t="s">
        <v>21</v>
      </c>
      <c r="C31" s="36"/>
      <c r="D31" s="36"/>
      <c r="E31" s="35"/>
      <c r="F31" s="35"/>
    </row>
    <row r="32" spans="2:6" ht="30" hidden="1" customHeight="1" x14ac:dyDescent="0.35">
      <c r="B32" s="25" t="s">
        <v>22</v>
      </c>
      <c r="C32" s="36"/>
      <c r="D32" s="36"/>
      <c r="E32" s="35"/>
      <c r="F32" s="35"/>
    </row>
    <row r="33" spans="2:6" ht="30" hidden="1" customHeight="1" x14ac:dyDescent="0.35">
      <c r="B33" s="25" t="s">
        <v>23</v>
      </c>
      <c r="C33" s="36"/>
      <c r="D33" s="36"/>
      <c r="E33" s="35"/>
      <c r="F33" s="35"/>
    </row>
    <row r="34" spans="2:6" ht="30" customHeight="1" x14ac:dyDescent="0.35">
      <c r="B34" s="32" t="s">
        <v>30</v>
      </c>
      <c r="C34" s="51"/>
      <c r="D34" s="51"/>
      <c r="E34" s="33"/>
      <c r="F34" s="33"/>
    </row>
    <row r="35" spans="2:6" ht="30" hidden="1" customHeight="1" x14ac:dyDescent="0.35">
      <c r="B35" s="25" t="s">
        <v>20</v>
      </c>
      <c r="C35" s="36">
        <f>C30+5</f>
        <v>5</v>
      </c>
      <c r="D35" s="36">
        <v>46315</v>
      </c>
      <c r="E35" s="35">
        <v>0</v>
      </c>
      <c r="F35" s="35"/>
    </row>
    <row r="36" spans="2:6" ht="30" hidden="1" customHeight="1" x14ac:dyDescent="0.35">
      <c r="B36" s="25" t="s">
        <v>21</v>
      </c>
      <c r="C36" s="36">
        <f>C31+5</f>
        <v>5</v>
      </c>
      <c r="D36" s="36">
        <v>46331</v>
      </c>
      <c r="E36" s="35">
        <v>0</v>
      </c>
      <c r="F36" s="35"/>
    </row>
    <row r="37" spans="2:6" ht="30" hidden="1" customHeight="1" x14ac:dyDescent="0.35">
      <c r="B37" s="25" t="s">
        <v>22</v>
      </c>
      <c r="C37" s="36">
        <f>C32+5</f>
        <v>5</v>
      </c>
      <c r="D37" s="36">
        <v>46348</v>
      </c>
      <c r="E37" s="35">
        <v>0</v>
      </c>
      <c r="F37" s="35"/>
    </row>
    <row r="38" spans="2:6" ht="30" hidden="1" customHeight="1" x14ac:dyDescent="0.35">
      <c r="B38" s="25" t="s">
        <v>23</v>
      </c>
      <c r="C38" s="36">
        <f>C33+5</f>
        <v>5</v>
      </c>
      <c r="D38" s="36">
        <v>46361</v>
      </c>
      <c r="E38" s="35">
        <v>0</v>
      </c>
      <c r="F38" s="35"/>
    </row>
    <row r="39" spans="2:6" ht="30" customHeight="1" x14ac:dyDescent="0.35">
      <c r="B39" s="26" t="s">
        <v>82</v>
      </c>
      <c r="C39" s="27"/>
      <c r="D39" s="27"/>
      <c r="E39" s="28"/>
      <c r="F39" s="28"/>
    </row>
    <row r="40" spans="2:6" s="1" customFormat="1" ht="30" customHeight="1" x14ac:dyDescent="0.35">
      <c r="B40" s="29" t="s">
        <v>85</v>
      </c>
      <c r="C40" s="30"/>
      <c r="D40" s="30"/>
      <c r="E40" s="31"/>
      <c r="F40" s="31"/>
    </row>
    <row r="41" spans="2:6" s="1" customFormat="1" ht="30" customHeight="1" x14ac:dyDescent="0.35">
      <c r="B41" s="25" t="s">
        <v>33</v>
      </c>
      <c r="C41" s="34">
        <v>46252</v>
      </c>
      <c r="D41" s="34">
        <v>46366</v>
      </c>
      <c r="E41" s="35">
        <v>0.39</v>
      </c>
      <c r="F41" s="35"/>
    </row>
    <row r="42" spans="2:6" s="1" customFormat="1" ht="30" customHeight="1" x14ac:dyDescent="0.35">
      <c r="B42" s="25" t="s">
        <v>35</v>
      </c>
      <c r="C42" s="34">
        <v>46231</v>
      </c>
      <c r="D42" s="34">
        <v>46382</v>
      </c>
      <c r="E42" s="35">
        <v>0.42</v>
      </c>
      <c r="F42" s="35"/>
    </row>
    <row r="43" spans="2:6" s="1" customFormat="1" ht="30" customHeight="1" x14ac:dyDescent="0.35">
      <c r="B43" s="25" t="s">
        <v>38</v>
      </c>
      <c r="C43" s="34">
        <v>46203</v>
      </c>
      <c r="D43" s="34">
        <v>46374</v>
      </c>
      <c r="E43" s="35">
        <v>0.57999999999999996</v>
      </c>
      <c r="F43" s="35"/>
    </row>
    <row r="44" spans="2:6" s="1" customFormat="1" ht="30" customHeight="1" x14ac:dyDescent="0.35">
      <c r="B44" s="25" t="s">
        <v>41</v>
      </c>
      <c r="C44" s="34">
        <v>46217</v>
      </c>
      <c r="D44" s="34">
        <v>46376</v>
      </c>
      <c r="E44" s="35">
        <v>0.41</v>
      </c>
      <c r="F44" s="35"/>
    </row>
    <row r="45" spans="2:6" s="1" customFormat="1" ht="30" customHeight="1" x14ac:dyDescent="0.35">
      <c r="B45" s="25" t="s">
        <v>42</v>
      </c>
      <c r="C45" s="34">
        <v>46237</v>
      </c>
      <c r="D45" s="34">
        <v>46381</v>
      </c>
      <c r="E45" s="35">
        <v>0.35</v>
      </c>
      <c r="F45" s="35"/>
    </row>
    <row r="46" spans="2:6" s="1" customFormat="1" ht="30" hidden="1" customHeight="1" x14ac:dyDescent="0.35">
      <c r="B46" s="16" t="s">
        <v>86</v>
      </c>
      <c r="C46" s="52"/>
      <c r="D46" s="52"/>
      <c r="E46" s="18"/>
      <c r="F46" s="18"/>
    </row>
    <row r="47" spans="2:6" s="1" customFormat="1" ht="30" hidden="1" customHeight="1" x14ac:dyDescent="0.35">
      <c r="B47" s="25" t="s">
        <v>33</v>
      </c>
      <c r="C47" s="34"/>
      <c r="D47" s="34"/>
      <c r="E47" s="35"/>
      <c r="F47" s="35"/>
    </row>
    <row r="48" spans="2:6" s="1" customFormat="1" ht="30" hidden="1" customHeight="1" x14ac:dyDescent="0.35">
      <c r="B48" s="25" t="s">
        <v>35</v>
      </c>
      <c r="C48" s="34"/>
      <c r="D48" s="34"/>
      <c r="E48" s="35"/>
      <c r="F48" s="35"/>
    </row>
    <row r="49" spans="2:6" s="1" customFormat="1" ht="30" hidden="1" customHeight="1" x14ac:dyDescent="0.35">
      <c r="B49" s="25" t="s">
        <v>38</v>
      </c>
      <c r="C49" s="34"/>
      <c r="D49" s="34"/>
      <c r="E49" s="35"/>
      <c r="F49" s="35"/>
    </row>
    <row r="50" spans="2:6" s="1" customFormat="1" ht="30" hidden="1" customHeight="1" x14ac:dyDescent="0.35">
      <c r="B50" s="25" t="s">
        <v>41</v>
      </c>
      <c r="C50" s="34"/>
      <c r="D50" s="34"/>
      <c r="E50" s="35"/>
      <c r="F50" s="35"/>
    </row>
    <row r="51" spans="2:6" s="1" customFormat="1" ht="30" hidden="1" customHeight="1" x14ac:dyDescent="0.35">
      <c r="B51" s="25" t="s">
        <v>42</v>
      </c>
      <c r="C51" s="34"/>
      <c r="D51" s="34"/>
      <c r="E51" s="35"/>
      <c r="F51" s="35"/>
    </row>
    <row r="52" spans="2:6" s="1" customFormat="1" ht="30" hidden="1" customHeight="1" x14ac:dyDescent="0.35">
      <c r="B52" s="25" t="s">
        <v>43</v>
      </c>
      <c r="C52" s="34"/>
      <c r="D52" s="34"/>
      <c r="E52" s="35"/>
      <c r="F52" s="35"/>
    </row>
    <row r="53" spans="2:6" s="1" customFormat="1" ht="30" hidden="1" customHeight="1" x14ac:dyDescent="0.35">
      <c r="B53" s="25" t="s">
        <v>45</v>
      </c>
      <c r="C53" s="34"/>
      <c r="D53" s="34"/>
      <c r="E53" s="35"/>
      <c r="F53" s="35"/>
    </row>
    <row r="54" spans="2:6" s="1" customFormat="1" ht="30" customHeight="1" x14ac:dyDescent="0.35">
      <c r="B54" s="16" t="s">
        <v>90</v>
      </c>
      <c r="C54" s="52"/>
      <c r="D54" s="52"/>
      <c r="E54" s="18"/>
      <c r="F54" s="18"/>
    </row>
    <row r="55" spans="2:6" s="1" customFormat="1" ht="30" customHeight="1" x14ac:dyDescent="0.35">
      <c r="B55" s="25" t="s">
        <v>93</v>
      </c>
      <c r="C55" s="34"/>
      <c r="D55" s="34"/>
      <c r="E55" s="35"/>
      <c r="F55" s="35"/>
    </row>
    <row r="56" spans="2:6" s="1" customFormat="1" ht="30" customHeight="1" x14ac:dyDescent="0.35">
      <c r="B56" s="25" t="s">
        <v>94</v>
      </c>
      <c r="C56" s="34"/>
      <c r="D56" s="34"/>
      <c r="E56" s="35"/>
      <c r="F56" s="35"/>
    </row>
    <row r="57" spans="2:6" s="1" customFormat="1" ht="30" customHeight="1" x14ac:dyDescent="0.35">
      <c r="B57" s="25" t="s">
        <v>95</v>
      </c>
      <c r="C57" s="34"/>
      <c r="D57" s="34"/>
      <c r="E57" s="35"/>
      <c r="F57" s="35"/>
    </row>
    <row r="58" spans="2:6" s="1" customFormat="1" ht="30" customHeight="1" x14ac:dyDescent="0.35">
      <c r="B58" s="25" t="s">
        <v>96</v>
      </c>
      <c r="C58" s="34"/>
      <c r="D58" s="34"/>
      <c r="E58" s="35"/>
      <c r="F58" s="35"/>
    </row>
    <row r="59" spans="2:6" s="1" customFormat="1" ht="30" customHeight="1" x14ac:dyDescent="0.35">
      <c r="B59" s="25" t="s">
        <v>24</v>
      </c>
      <c r="C59" s="34"/>
      <c r="D59" s="34"/>
      <c r="E59" s="35"/>
      <c r="F59" s="35"/>
    </row>
    <row r="60" spans="2:6" s="1" customFormat="1" ht="30" customHeight="1" x14ac:dyDescent="0.35">
      <c r="B60" s="25" t="s">
        <v>25</v>
      </c>
      <c r="C60" s="34"/>
      <c r="D60" s="34"/>
      <c r="E60" s="35"/>
      <c r="F60" s="35"/>
    </row>
    <row r="61" spans="2:6" s="1" customFormat="1" ht="30" customHeight="1" x14ac:dyDescent="0.35">
      <c r="B61" s="25" t="s">
        <v>26</v>
      </c>
      <c r="C61" s="34"/>
      <c r="D61" s="34"/>
      <c r="E61" s="35"/>
      <c r="F61" s="35"/>
    </row>
    <row r="62" spans="2:6" s="1" customFormat="1" ht="30" customHeight="1" x14ac:dyDescent="0.35">
      <c r="B62" s="25" t="s">
        <v>27</v>
      </c>
      <c r="C62" s="34"/>
      <c r="D62" s="34"/>
      <c r="E62" s="35"/>
      <c r="F62" s="35"/>
    </row>
    <row r="63" spans="2:6" s="1" customFormat="1" ht="30" customHeight="1" x14ac:dyDescent="0.35">
      <c r="B63" s="25" t="s">
        <v>28</v>
      </c>
      <c r="C63" s="34"/>
      <c r="D63" s="34"/>
      <c r="E63" s="35"/>
      <c r="F63" s="35"/>
    </row>
  </sheetData>
  <mergeCells count="6">
    <mergeCell ref="M2:O2"/>
    <mergeCell ref="B3:B4"/>
    <mergeCell ref="C3:C4"/>
    <mergeCell ref="D3:D4"/>
    <mergeCell ref="E3:E4"/>
    <mergeCell ref="F3:F4"/>
  </mergeCells>
  <conditionalFormatting sqref="G7:V7 G12:AA39 G18:V114">
    <cfRule type="expression" dxfId="1159" priority="867">
      <formula>AND($C7&lt;&gt;"",$D7&lt;&gt;"",$E7&lt;&gt;"",$C7&lt;=EOMONTH(G$4,0),($C7+(($D7-$C7)*$E7))&gt;=G$4)</formula>
    </cfRule>
    <cfRule type="expression" dxfId="1158" priority="868">
      <formula>AND($C7&lt;&gt;"",$D7&lt;&gt;"",$C7&lt;=EOMONTH(G$4,0),$D7&gt;=G$4)</formula>
    </cfRule>
  </conditionalFormatting>
  <conditionalFormatting sqref="G7:V11">
    <cfRule type="expression" dxfId="1157" priority="7">
      <formula>AND($C7&lt;&gt;"",$D7&lt;&gt;"",$E7&gt;0,$C7&lt;=EOMONTH(G$4,0),($C7+(($D7-$C7)*$E7))&gt;=G$4)</formula>
    </cfRule>
    <cfRule type="expression" dxfId="1156" priority="8">
      <formula>AND($C7&lt;&gt;"",$D7&lt;&gt;"",$C7&lt;=EOMONTH(G$4,0),$D7&gt;=G$4)</formula>
    </cfRule>
    <cfRule type="expression" dxfId="1155" priority="865">
      <formula>AND($C7&lt;&gt;"",$D7&lt;&gt;"",$E7&lt;&gt;"",$C7&lt;=EOMONTH(G$4,0),($C7+(($D7-$C7)*$E7))&gt;=G$4)</formula>
    </cfRule>
    <cfRule type="expression" dxfId="1154" priority="866">
      <formula>AND($C7&lt;&gt;"",$D7&lt;&gt;"",$C7&lt;=EOMONTH(G$4,0),$D7&gt;=G$4)</formula>
    </cfRule>
  </conditionalFormatting>
  <conditionalFormatting sqref="G9:V11">
    <cfRule type="expression" dxfId="1153" priority="863">
      <formula>AND($C9&lt;&gt;"",$D9&lt;&gt;"",$E9&lt;&gt;"",$C9&lt;=EOMONTH(G$4,0),($C9+(($D9-$C9)*$E9))&gt;=G$4)</formula>
    </cfRule>
    <cfRule type="expression" dxfId="1152" priority="864">
      <formula>AND($C9&lt;&gt;"",$D9&lt;&gt;"",$C9&lt;=EOMONTH(G$4,0),$D9&gt;=G$4)</formula>
    </cfRule>
  </conditionalFormatting>
  <conditionalFormatting sqref="G4:W5">
    <cfRule type="expression" dxfId="1151" priority="874">
      <formula>G$4=period_selected</formula>
    </cfRule>
  </conditionalFormatting>
  <conditionalFormatting sqref="G5:W5">
    <cfRule type="expression" dxfId="1150" priority="877">
      <formula>AND(G$4&gt;=#REF!,G$4&lt;=$D5)</formula>
    </cfRule>
  </conditionalFormatting>
  <conditionalFormatting sqref="G6:W11 G12:AA39 G30:W114">
    <cfRule type="expression" dxfId="1149" priority="869">
      <formula>PercentCompleteBeyond</formula>
    </cfRule>
    <cfRule type="expression" dxfId="1148" priority="870">
      <formula>Actual</formula>
    </cfRule>
    <cfRule type="expression" dxfId="1147" priority="871">
      <formula>ActualBeyond</formula>
    </cfRule>
    <cfRule type="expression" dxfId="1146" priority="872">
      <formula>Plan</formula>
    </cfRule>
    <cfRule type="expression" dxfId="1145" priority="873">
      <formula>G$4=period_selected</formula>
    </cfRule>
    <cfRule type="expression" dxfId="1144" priority="875">
      <formula>MOD(COLUMN(),2)</formula>
    </cfRule>
    <cfRule type="expression" dxfId="1143" priority="876">
      <formula>MOD(COLUMN(),2)=0</formula>
    </cfRule>
  </conditionalFormatting>
  <conditionalFormatting sqref="G7:W103">
    <cfRule type="expression" dxfId="1142" priority="857">
      <formula>AND($C7&lt;&gt;"",$D7&lt;&gt;"",$E7&gt;0,$C7&lt;=EOMONTH(G$4,0),($C7+(($D7-$C7)*$E7))&gt;=G$4)</formula>
    </cfRule>
  </conditionalFormatting>
  <conditionalFormatting sqref="G12:AA39">
    <cfRule type="expression" dxfId="1141" priority="3">
      <formula>AND($C12&lt;&gt;"",$D12&lt;&gt;"",$E12&gt;0,$C12&lt;=EOMONTH(G$4,0),($C12+(($D12-$C12)*$E12))&gt;=G$4)</formula>
    </cfRule>
    <cfRule type="expression" dxfId="1140" priority="4">
      <formula>AND($C12&lt;&gt;"",$D12&lt;&gt;"",$C12&lt;=EOMONTH(G$4,0),$D12&gt;=G$4)</formula>
    </cfRule>
  </conditionalFormatting>
  <dataValidations count="11"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G2" xr:uid="{901835EF-24FE-4452-A2B1-064CE3357F79}">
      <formula1>$G$4:$W$4</formula1>
    </dataValidation>
    <dataValidation allowBlank="1" showInputMessage="1" showErrorMessage="1" prompt="Select a period to highlight in H2. A Chart legend is in J2 to AI2" sqref="B2:E2" xr:uid="{F2028327-7B93-4632-A2A3-1C7DE03EAADB}"/>
    <dataValidation allowBlank="1" showInputMessage="1" showErrorMessage="1" prompt="Enter actual duration period in column F, starting with cell F5" sqref="D3:E5" xr:uid="{9AFAF49A-BB12-4F36-AAFC-DC4C77F4ED1A}"/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" xr:uid="{243DA2FF-BAC8-464D-A13C-98EDD81E52F8}"/>
    <dataValidation allowBlank="1" showInputMessage="1" showErrorMessage="1" prompt="This legend cell indicates plan duration" sqref="I2" xr:uid="{C828B3DC-6397-4DDC-A941-4B54F3B41FEC}"/>
    <dataValidation allowBlank="1" showInputMessage="1" showErrorMessage="1" prompt="This legend cell indicates the percentage of project completed" sqref="T2" xr:uid="{66F8C7BE-657E-4C0E-8B74-685C76CF5560}"/>
    <dataValidation allowBlank="1" showInputMessage="1" showErrorMessage="1" prompt="Periods are charted from 1 to 60 starting from cell H4 to cell BO4 " sqref="G3" xr:uid="{7F6A8EF6-6F2D-4121-9569-8F31B3CAD534}"/>
    <dataValidation allowBlank="1" showInputMessage="1" showErrorMessage="1" prompt="Enter activity in column B, starting with cell B5_x000a_" sqref="B3:B5" xr:uid="{03082D39-DE79-42EB-B6D9-B2A837EFEE8D}"/>
    <dataValidation allowBlank="1" showInputMessage="1" showErrorMessage="1" prompt="Enter plan start period in column C, starting with cell C5" sqref="C3:C5" xr:uid="{8A3DE1E5-F34A-44CB-A5F1-6EDDD61BF3E3}"/>
    <dataValidation allowBlank="1" showInputMessage="1" showErrorMessage="1" prompt="Enter the percentage of project completed in column G, starting with cell G5" sqref="E3:E5" xr:uid="{6FD67A85-69DE-4255-8319-9FCADE544BA1}"/>
    <dataValidation allowBlank="1" showInputMessage="1" showErrorMessage="1" prompt="Title of the project. Enter a new title in this cell. Highlight a period in H2. Chart legend is in J2 to AI2" sqref="B1" xr:uid="{FAE8EE9B-511C-4452-AB24-9510643A8CB0}"/>
  </dataValidations>
  <printOptions horizontalCentered="1"/>
  <pageMargins left="0.45" right="0.45" top="0.5" bottom="0.5" header="0.3" footer="0.3"/>
  <pageSetup paperSize="8" scale="75" fitToHeight="0" orientation="landscape" r:id="rId1"/>
  <headerFooter differentFirst="1">
    <oddFooter>&amp;L_x000D_&amp;1#&amp;"Aptos"&amp;8&amp;K000000 Sensitivity: LNT Construction Internal Use</oddFooter>
    <firstFooter>&amp;L_x000D_&amp;1#&amp;"Aptos"&amp;8&amp;K000000 Sensitivity: LNT Construction Internal Use</first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A6D4D-AE8C-4983-8302-FD340AAD628B}">
  <sheetPr>
    <tabColor theme="7"/>
    <pageSetUpPr fitToPage="1"/>
  </sheetPr>
  <dimension ref="A1:P84"/>
  <sheetViews>
    <sheetView showGridLines="0" zoomScale="83" zoomScaleNormal="100" zoomScaleSheetLayoutView="80" workbookViewId="0">
      <pane ySplit="4" topLeftCell="A60" activePane="bottomLeft" state="frozen"/>
      <selection pane="bottomLeft" activeCell="D33" sqref="D33"/>
    </sheetView>
  </sheetViews>
  <sheetFormatPr defaultColWidth="2.75" defaultRowHeight="17" x14ac:dyDescent="0.4"/>
  <cols>
    <col min="1" max="1" width="27.33203125" style="2" customWidth="1"/>
    <col min="2" max="2" width="15.33203125" style="1" customWidth="1"/>
    <col min="3" max="3" width="13.33203125" customWidth="1"/>
    <col min="4" max="5" width="15.58203125" style="3" customWidth="1"/>
    <col min="6" max="6" width="33.08203125" style="3" customWidth="1"/>
    <col min="7" max="14" width="9.5" style="1" bestFit="1" customWidth="1"/>
  </cols>
  <sheetData>
    <row r="1" spans="1:16" s="188" customFormat="1" ht="30" customHeight="1" x14ac:dyDescent="1.2">
      <c r="A1" s="196" t="s">
        <v>371</v>
      </c>
      <c r="B1" s="48"/>
      <c r="C1" s="49"/>
      <c r="D1" s="48"/>
      <c r="E1" s="48"/>
      <c r="F1" s="48"/>
      <c r="G1" s="184"/>
      <c r="H1" s="184"/>
      <c r="I1" s="184"/>
      <c r="J1" s="184"/>
      <c r="K1" s="185"/>
      <c r="L1" s="185"/>
      <c r="M1" s="185"/>
      <c r="N1" s="186"/>
      <c r="O1" s="187"/>
      <c r="P1" s="187"/>
    </row>
    <row r="2" spans="1:16" ht="16" x14ac:dyDescent="0.35">
      <c r="A2" s="153"/>
      <c r="B2" s="153"/>
      <c r="C2" s="153"/>
      <c r="D2" s="154"/>
      <c r="E2" s="154"/>
      <c r="F2" s="154"/>
      <c r="G2" s="21"/>
      <c r="H2" s="21"/>
      <c r="I2" s="21"/>
      <c r="J2" s="21"/>
      <c r="K2" s="21"/>
      <c r="L2" s="21"/>
      <c r="M2" s="21"/>
      <c r="N2" s="21"/>
      <c r="O2" s="14"/>
      <c r="P2" s="14"/>
    </row>
    <row r="3" spans="1:16" s="11" customFormat="1" ht="14.5" x14ac:dyDescent="0.35">
      <c r="A3" s="264" t="s">
        <v>1</v>
      </c>
      <c r="B3" s="248" t="s">
        <v>304</v>
      </c>
      <c r="C3" s="248" t="s">
        <v>305</v>
      </c>
      <c r="D3" s="248" t="s">
        <v>368</v>
      </c>
      <c r="E3" s="248" t="s">
        <v>369</v>
      </c>
      <c r="F3" s="248" t="s">
        <v>306</v>
      </c>
      <c r="G3" s="262">
        <v>46174</v>
      </c>
      <c r="H3" s="262">
        <f t="shared" ref="H3:M3" si="0">EDATE(G3,1)</f>
        <v>46204</v>
      </c>
      <c r="I3" s="262">
        <f t="shared" si="0"/>
        <v>46235</v>
      </c>
      <c r="J3" s="262">
        <f t="shared" si="0"/>
        <v>46266</v>
      </c>
      <c r="K3" s="262">
        <f t="shared" si="0"/>
        <v>46296</v>
      </c>
      <c r="L3" s="262">
        <f t="shared" si="0"/>
        <v>46327</v>
      </c>
      <c r="M3" s="262">
        <f t="shared" si="0"/>
        <v>46357</v>
      </c>
      <c r="N3" s="263"/>
    </row>
    <row r="4" spans="1:16" ht="14.5" x14ac:dyDescent="0.35">
      <c r="A4" s="264"/>
      <c r="B4" s="248"/>
      <c r="C4" s="248"/>
      <c r="D4" s="248"/>
      <c r="E4" s="248"/>
      <c r="F4" s="248"/>
      <c r="G4" s="262"/>
      <c r="H4" s="262"/>
      <c r="I4" s="262"/>
      <c r="J4" s="262"/>
      <c r="K4" s="262"/>
      <c r="L4" s="262"/>
      <c r="M4" s="262"/>
      <c r="N4" s="263"/>
    </row>
    <row r="5" spans="1:16" ht="23" x14ac:dyDescent="0.35">
      <c r="A5" s="158" t="s">
        <v>6</v>
      </c>
      <c r="B5" s="159"/>
      <c r="C5" s="160"/>
      <c r="D5" s="177">
        <v>1</v>
      </c>
      <c r="E5" s="177">
        <f>D5</f>
        <v>1</v>
      </c>
      <c r="F5" s="161"/>
      <c r="G5" s="155"/>
      <c r="H5" s="156"/>
      <c r="I5" s="156"/>
      <c r="J5" s="156"/>
      <c r="K5" s="157"/>
      <c r="L5" s="157"/>
      <c r="M5" s="157"/>
      <c r="N5" s="157"/>
    </row>
    <row r="6" spans="1:16" ht="23" x14ac:dyDescent="0.35">
      <c r="A6" s="162" t="s">
        <v>7</v>
      </c>
      <c r="B6" s="163"/>
      <c r="C6" s="163"/>
      <c r="D6" s="164"/>
      <c r="E6" s="164"/>
      <c r="F6" s="164"/>
    </row>
    <row r="7" spans="1:16" ht="18.5" x14ac:dyDescent="0.35">
      <c r="A7" s="131" t="s">
        <v>8</v>
      </c>
      <c r="B7" s="132">
        <v>45938</v>
      </c>
      <c r="C7" s="132">
        <v>46320</v>
      </c>
      <c r="D7" s="133">
        <v>0.95</v>
      </c>
      <c r="E7" s="133">
        <v>0.96</v>
      </c>
      <c r="F7" s="133"/>
      <c r="G7" s="190"/>
      <c r="H7" s="191"/>
      <c r="I7" s="191"/>
      <c r="J7" s="191"/>
    </row>
    <row r="8" spans="1:16" ht="18.5" x14ac:dyDescent="0.35">
      <c r="A8" s="131" t="s">
        <v>278</v>
      </c>
      <c r="B8" s="132">
        <v>46032</v>
      </c>
      <c r="C8" s="132">
        <v>46336</v>
      </c>
      <c r="D8" s="133">
        <v>0.75</v>
      </c>
      <c r="E8" s="133">
        <v>0.78</v>
      </c>
      <c r="F8" s="133"/>
      <c r="G8" s="192"/>
      <c r="H8" s="193"/>
      <c r="I8" s="193"/>
      <c r="J8" s="193"/>
    </row>
    <row r="9" spans="1:16" ht="18.5" x14ac:dyDescent="0.35">
      <c r="A9" s="131" t="s">
        <v>291</v>
      </c>
      <c r="B9" s="132">
        <v>46102</v>
      </c>
      <c r="C9" s="132">
        <v>46371</v>
      </c>
      <c r="D9" s="133">
        <v>0.55000000000000004</v>
      </c>
      <c r="E9" s="133">
        <v>0.56999999999999995</v>
      </c>
      <c r="F9" s="133"/>
      <c r="G9" s="192"/>
      <c r="H9" s="193"/>
      <c r="I9" s="193"/>
    </row>
    <row r="10" spans="1:16" ht="18.5" x14ac:dyDescent="0.35">
      <c r="A10" s="131" t="s">
        <v>10</v>
      </c>
      <c r="B10" s="132">
        <v>46102</v>
      </c>
      <c r="C10" s="132">
        <f>VLOOKUP(A10,[4]EMR!$B$7:$D$131,3,FALSE)</f>
        <v>46371</v>
      </c>
      <c r="D10" s="133">
        <v>0.45</v>
      </c>
      <c r="E10" s="133"/>
      <c r="F10" s="133"/>
      <c r="G10" s="192"/>
      <c r="H10" s="193"/>
      <c r="I10" s="193"/>
      <c r="N10"/>
    </row>
    <row r="11" spans="1:16" ht="18.5" x14ac:dyDescent="0.35">
      <c r="A11" s="131" t="s">
        <v>75</v>
      </c>
      <c r="B11" s="132">
        <v>46073</v>
      </c>
      <c r="C11" s="132">
        <f>VLOOKUP(A11,[4]EMR!$B$7:$D$131,3,FALSE)</f>
        <v>46356</v>
      </c>
      <c r="D11" s="133">
        <v>0.75</v>
      </c>
      <c r="E11" s="133">
        <v>0.79</v>
      </c>
      <c r="F11" s="133"/>
      <c r="G11" s="192"/>
      <c r="H11" s="193"/>
      <c r="I11" s="193"/>
      <c r="J11" s="194"/>
      <c r="N11"/>
    </row>
    <row r="12" spans="1:16" ht="18.5" x14ac:dyDescent="0.35">
      <c r="A12" s="131" t="s">
        <v>11</v>
      </c>
      <c r="B12" s="132">
        <v>46323</v>
      </c>
      <c r="C12" s="132">
        <v>46378</v>
      </c>
      <c r="D12" s="133">
        <v>0</v>
      </c>
      <c r="E12" s="133"/>
      <c r="F12" s="133" t="s">
        <v>362</v>
      </c>
    </row>
    <row r="13" spans="1:16" ht="18.5" x14ac:dyDescent="0.35">
      <c r="A13" s="131" t="s">
        <v>345</v>
      </c>
      <c r="B13" s="132">
        <v>46315</v>
      </c>
      <c r="C13" s="132">
        <v>46376</v>
      </c>
      <c r="D13" s="133">
        <v>0</v>
      </c>
      <c r="E13" s="133"/>
      <c r="F13" s="133" t="s">
        <v>308</v>
      </c>
    </row>
    <row r="14" spans="1:16" ht="18.5" x14ac:dyDescent="0.35">
      <c r="A14" s="131" t="s">
        <v>341</v>
      </c>
      <c r="B14" s="132">
        <v>46344</v>
      </c>
      <c r="C14" s="132">
        <v>46384</v>
      </c>
      <c r="D14" s="133">
        <v>0</v>
      </c>
      <c r="E14" s="133"/>
      <c r="F14" s="133" t="s">
        <v>354</v>
      </c>
    </row>
    <row r="15" spans="1:16" ht="18.5" x14ac:dyDescent="0.35">
      <c r="A15" s="131" t="s">
        <v>13</v>
      </c>
      <c r="B15" s="132">
        <v>46336</v>
      </c>
      <c r="C15" s="132">
        <v>46376</v>
      </c>
      <c r="D15" s="133">
        <v>0</v>
      </c>
      <c r="E15" s="133"/>
      <c r="F15" s="133" t="s">
        <v>355</v>
      </c>
    </row>
    <row r="16" spans="1:16" ht="18" x14ac:dyDescent="0.35">
      <c r="A16" s="135" t="s">
        <v>299</v>
      </c>
      <c r="B16" s="136"/>
      <c r="C16" s="136"/>
      <c r="D16" s="137"/>
      <c r="E16" s="137"/>
      <c r="F16" s="137"/>
    </row>
    <row r="17" spans="1:10" ht="18.5" x14ac:dyDescent="0.35">
      <c r="A17" s="131" t="s">
        <v>346</v>
      </c>
      <c r="B17" s="132"/>
      <c r="C17" s="132"/>
      <c r="D17" s="133"/>
      <c r="E17" s="133"/>
      <c r="F17" s="133"/>
    </row>
    <row r="18" spans="1:10" ht="18.5" x14ac:dyDescent="0.35">
      <c r="A18" s="165" t="s">
        <v>300</v>
      </c>
      <c r="B18" s="132">
        <v>46167</v>
      </c>
      <c r="C18" s="132">
        <v>46262</v>
      </c>
      <c r="D18" s="133">
        <v>1</v>
      </c>
      <c r="E18" s="133">
        <f>D18</f>
        <v>1</v>
      </c>
      <c r="F18" s="133"/>
      <c r="G18" s="193"/>
      <c r="H18" s="193"/>
      <c r="I18" s="193"/>
    </row>
    <row r="19" spans="1:10" ht="18.5" x14ac:dyDescent="0.35">
      <c r="A19" s="165" t="s">
        <v>356</v>
      </c>
      <c r="B19" s="132">
        <v>46262</v>
      </c>
      <c r="C19" s="132">
        <v>46344</v>
      </c>
      <c r="D19" s="133">
        <v>0.35</v>
      </c>
      <c r="E19" s="133">
        <v>0.38</v>
      </c>
      <c r="F19" s="133" t="s">
        <v>308</v>
      </c>
      <c r="I19" s="193"/>
    </row>
    <row r="20" spans="1:10" ht="18.5" x14ac:dyDescent="0.35">
      <c r="A20" s="131" t="s">
        <v>347</v>
      </c>
      <c r="B20" s="132"/>
      <c r="C20" s="132"/>
      <c r="D20" s="133"/>
      <c r="E20" s="133"/>
      <c r="F20" s="133"/>
    </row>
    <row r="21" spans="1:10" ht="18.5" x14ac:dyDescent="0.35">
      <c r="A21" s="165" t="s">
        <v>300</v>
      </c>
      <c r="B21" s="132">
        <v>46193</v>
      </c>
      <c r="C21" s="132">
        <v>46298</v>
      </c>
      <c r="D21" s="133">
        <v>0.95</v>
      </c>
      <c r="E21" s="133">
        <v>0.96</v>
      </c>
      <c r="F21" s="133"/>
      <c r="G21" s="193"/>
      <c r="H21" s="193"/>
      <c r="I21" s="193"/>
      <c r="J21" s="193"/>
    </row>
    <row r="22" spans="1:10" ht="18.5" x14ac:dyDescent="0.35">
      <c r="A22" s="165" t="s">
        <v>356</v>
      </c>
      <c r="B22" s="132">
        <v>46298</v>
      </c>
      <c r="C22" s="132">
        <v>46361</v>
      </c>
      <c r="D22" s="133">
        <v>0</v>
      </c>
      <c r="E22" s="133">
        <f>D22</f>
        <v>0</v>
      </c>
      <c r="F22" s="133" t="s">
        <v>308</v>
      </c>
    </row>
    <row r="23" spans="1:10" ht="18.5" x14ac:dyDescent="0.35">
      <c r="A23" s="131" t="s">
        <v>348</v>
      </c>
      <c r="B23" s="132"/>
      <c r="C23" s="132"/>
      <c r="D23" s="133"/>
      <c r="E23" s="133"/>
      <c r="F23" s="133"/>
    </row>
    <row r="24" spans="1:10" ht="18.5" x14ac:dyDescent="0.35">
      <c r="A24" s="165" t="s">
        <v>300</v>
      </c>
      <c r="B24" s="132">
        <v>46208</v>
      </c>
      <c r="C24" s="132">
        <v>46325</v>
      </c>
      <c r="D24" s="133">
        <v>0.25</v>
      </c>
      <c r="E24" s="133">
        <v>0.27</v>
      </c>
      <c r="F24" s="133"/>
      <c r="H24" s="193"/>
      <c r="I24" s="193"/>
      <c r="J24" s="193"/>
    </row>
    <row r="25" spans="1:10" ht="18.5" x14ac:dyDescent="0.35">
      <c r="A25" s="165" t="s">
        <v>356</v>
      </c>
      <c r="B25" s="132">
        <v>46325</v>
      </c>
      <c r="C25" s="132">
        <v>46387</v>
      </c>
      <c r="D25" s="133">
        <v>0</v>
      </c>
      <c r="E25" s="133">
        <f>D25</f>
        <v>0</v>
      </c>
      <c r="F25" s="133" t="s">
        <v>308</v>
      </c>
    </row>
    <row r="26" spans="1:10" ht="18" x14ac:dyDescent="0.35">
      <c r="A26" s="135" t="s">
        <v>301</v>
      </c>
      <c r="B26" s="136"/>
      <c r="C26" s="136"/>
      <c r="D26" s="137"/>
      <c r="E26" s="137"/>
      <c r="F26" s="137"/>
    </row>
    <row r="27" spans="1:10" ht="18.5" x14ac:dyDescent="0.35">
      <c r="A27" s="165" t="s">
        <v>300</v>
      </c>
      <c r="B27" s="132">
        <v>46213</v>
      </c>
      <c r="C27" s="132">
        <v>46264</v>
      </c>
      <c r="D27" s="133">
        <v>1</v>
      </c>
      <c r="E27" s="133">
        <f>D27</f>
        <v>1</v>
      </c>
      <c r="F27" s="133"/>
      <c r="H27" s="193"/>
      <c r="I27" s="193"/>
    </row>
    <row r="28" spans="1:10" ht="18.5" x14ac:dyDescent="0.35">
      <c r="A28" s="165" t="s">
        <v>360</v>
      </c>
      <c r="B28" s="132">
        <v>46266</v>
      </c>
      <c r="C28" s="132">
        <v>46351</v>
      </c>
      <c r="D28" s="133">
        <v>0.52</v>
      </c>
      <c r="E28" s="133">
        <v>0.54</v>
      </c>
      <c r="F28" s="133"/>
    </row>
    <row r="29" spans="1:10" ht="18" x14ac:dyDescent="0.35">
      <c r="A29" s="135" t="s">
        <v>14</v>
      </c>
      <c r="B29" s="136"/>
      <c r="C29" s="136"/>
      <c r="D29" s="137"/>
      <c r="E29" s="137"/>
      <c r="F29" s="137"/>
    </row>
    <row r="30" spans="1:10" ht="18.5" x14ac:dyDescent="0.35">
      <c r="A30" s="131" t="s">
        <v>363</v>
      </c>
      <c r="B30" s="132">
        <v>46280</v>
      </c>
      <c r="C30" s="132">
        <v>46325</v>
      </c>
      <c r="D30" s="133">
        <v>0.25</v>
      </c>
      <c r="E30" s="133">
        <v>0.33</v>
      </c>
      <c r="F30" s="133"/>
      <c r="J30" s="193"/>
    </row>
    <row r="31" spans="1:10" ht="18.5" x14ac:dyDescent="0.35">
      <c r="A31" s="131" t="s">
        <v>311</v>
      </c>
      <c r="B31" s="132">
        <v>46290</v>
      </c>
      <c r="C31" s="132">
        <v>46327</v>
      </c>
      <c r="D31" s="133">
        <v>0.35</v>
      </c>
      <c r="E31" s="133">
        <v>0.42</v>
      </c>
      <c r="F31" s="133"/>
      <c r="J31" s="193"/>
    </row>
    <row r="32" spans="1:10" ht="18.5" x14ac:dyDescent="0.35">
      <c r="A32" s="131" t="s">
        <v>293</v>
      </c>
      <c r="B32" s="132">
        <v>46272</v>
      </c>
      <c r="C32" s="132">
        <v>46338</v>
      </c>
      <c r="D32" s="133">
        <v>0.65</v>
      </c>
      <c r="E32" s="133">
        <v>0.68</v>
      </c>
      <c r="F32" s="133"/>
      <c r="J32" s="193"/>
    </row>
    <row r="33" spans="1:10" ht="37" x14ac:dyDescent="0.35">
      <c r="A33" s="131" t="s">
        <v>344</v>
      </c>
      <c r="B33" s="132">
        <v>46270</v>
      </c>
      <c r="C33" s="132">
        <v>46320</v>
      </c>
      <c r="D33" s="133">
        <v>0.6</v>
      </c>
      <c r="E33" s="133">
        <v>0.64</v>
      </c>
      <c r="F33" s="134" t="s">
        <v>364</v>
      </c>
      <c r="J33" s="193"/>
    </row>
    <row r="34" spans="1:10" ht="23" x14ac:dyDescent="0.35">
      <c r="A34" s="162" t="s">
        <v>214</v>
      </c>
      <c r="B34" s="163"/>
      <c r="C34" s="163"/>
      <c r="D34" s="164"/>
      <c r="E34" s="164"/>
      <c r="F34" s="164"/>
    </row>
    <row r="35" spans="1:10" ht="18.5" x14ac:dyDescent="0.35">
      <c r="A35" s="131" t="s">
        <v>20</v>
      </c>
      <c r="B35" s="132">
        <v>46239</v>
      </c>
      <c r="C35" s="132">
        <v>46355</v>
      </c>
      <c r="D35" s="133">
        <v>0.35</v>
      </c>
      <c r="E35" s="133">
        <v>0.38</v>
      </c>
      <c r="F35" s="133"/>
      <c r="I35" s="193"/>
      <c r="J35" s="193"/>
    </row>
    <row r="36" spans="1:10" ht="18.5" x14ac:dyDescent="0.35">
      <c r="A36" s="131" t="s">
        <v>21</v>
      </c>
      <c r="B36" s="132">
        <v>46252</v>
      </c>
      <c r="C36" s="132">
        <v>46368</v>
      </c>
      <c r="D36" s="133">
        <v>0.1</v>
      </c>
      <c r="E36" s="133">
        <v>0.14000000000000001</v>
      </c>
      <c r="F36" s="133"/>
      <c r="I36" s="193"/>
      <c r="J36" s="193"/>
    </row>
    <row r="37" spans="1:10" ht="18.5" x14ac:dyDescent="0.35">
      <c r="A37" s="131" t="s">
        <v>22</v>
      </c>
      <c r="B37" s="132">
        <v>46270</v>
      </c>
      <c r="C37" s="132">
        <v>46384</v>
      </c>
      <c r="D37" s="133">
        <v>0.05</v>
      </c>
      <c r="E37" s="133">
        <v>0.08</v>
      </c>
      <c r="F37" s="133"/>
    </row>
    <row r="38" spans="1:10" ht="18.5" x14ac:dyDescent="0.35">
      <c r="A38" s="131" t="s">
        <v>23</v>
      </c>
      <c r="B38" s="132">
        <v>46244</v>
      </c>
      <c r="C38" s="132">
        <v>46386</v>
      </c>
      <c r="D38" s="133">
        <v>0.15</v>
      </c>
      <c r="E38" s="133">
        <v>0.17</v>
      </c>
      <c r="F38" s="133"/>
      <c r="I38" s="193"/>
    </row>
    <row r="39" spans="1:10" ht="18.5" x14ac:dyDescent="0.35">
      <c r="A39" s="131" t="s">
        <v>212</v>
      </c>
      <c r="B39" s="132">
        <v>46267</v>
      </c>
      <c r="C39" s="132">
        <v>46346</v>
      </c>
      <c r="D39" s="133">
        <v>0.19</v>
      </c>
      <c r="E39" s="133">
        <v>0.24</v>
      </c>
      <c r="F39" s="133"/>
    </row>
    <row r="40" spans="1:10" ht="18" x14ac:dyDescent="0.35">
      <c r="A40" s="135" t="s">
        <v>317</v>
      </c>
      <c r="B40" s="136"/>
      <c r="C40" s="136"/>
      <c r="D40" s="137"/>
      <c r="E40" s="137"/>
      <c r="F40" s="137"/>
    </row>
    <row r="41" spans="1:10" ht="18" x14ac:dyDescent="0.35">
      <c r="A41" s="135" t="s">
        <v>318</v>
      </c>
      <c r="B41" s="136"/>
      <c r="C41" s="136"/>
      <c r="D41" s="137"/>
      <c r="E41" s="137"/>
      <c r="F41" s="137"/>
    </row>
    <row r="42" spans="1:10" ht="18.5" x14ac:dyDescent="0.35">
      <c r="A42" s="131" t="s">
        <v>34</v>
      </c>
      <c r="B42" s="132">
        <v>46034</v>
      </c>
      <c r="C42" s="132">
        <v>46275</v>
      </c>
      <c r="D42" s="133">
        <v>1</v>
      </c>
      <c r="E42" s="133">
        <f>D42</f>
        <v>1</v>
      </c>
      <c r="F42" s="133"/>
      <c r="G42" s="193"/>
      <c r="H42" s="193"/>
      <c r="I42" s="193"/>
      <c r="J42" s="193"/>
    </row>
    <row r="43" spans="1:10" ht="18.5" x14ac:dyDescent="0.35">
      <c r="A43" s="131" t="s">
        <v>357</v>
      </c>
      <c r="B43" s="132">
        <v>46049</v>
      </c>
      <c r="C43" s="132">
        <v>46366</v>
      </c>
      <c r="D43" s="133">
        <v>0.6</v>
      </c>
      <c r="E43" s="133">
        <v>0.64</v>
      </c>
      <c r="F43" s="133"/>
      <c r="G43" s="193"/>
      <c r="H43" s="193"/>
      <c r="I43" s="193"/>
      <c r="J43" s="193"/>
    </row>
    <row r="44" spans="1:10" s="1" customFormat="1" ht="18.5" x14ac:dyDescent="0.35">
      <c r="A44" s="131" t="s">
        <v>39</v>
      </c>
      <c r="B44" s="132">
        <v>46042</v>
      </c>
      <c r="C44" s="132">
        <v>46326</v>
      </c>
      <c r="D44" s="133">
        <v>0.97</v>
      </c>
      <c r="E44" s="133">
        <v>0.98</v>
      </c>
      <c r="F44" s="133"/>
      <c r="G44" s="193"/>
      <c r="H44" s="193"/>
      <c r="I44" s="193"/>
    </row>
    <row r="45" spans="1:10" s="1" customFormat="1" ht="18.5" x14ac:dyDescent="0.35">
      <c r="A45" s="131" t="s">
        <v>296</v>
      </c>
      <c r="B45" s="132">
        <v>46032</v>
      </c>
      <c r="C45" s="132">
        <v>46358</v>
      </c>
      <c r="D45" s="133">
        <v>0.65</v>
      </c>
      <c r="E45" s="133">
        <v>0.69</v>
      </c>
      <c r="F45" s="133"/>
      <c r="G45" s="193"/>
      <c r="H45" s="193"/>
      <c r="I45" s="193"/>
      <c r="J45" s="193"/>
    </row>
    <row r="46" spans="1:10" s="1" customFormat="1" ht="18.5" x14ac:dyDescent="0.35">
      <c r="A46" s="131" t="s">
        <v>319</v>
      </c>
      <c r="B46" s="132">
        <v>46275</v>
      </c>
      <c r="C46" s="132">
        <v>46374</v>
      </c>
      <c r="D46" s="133">
        <v>0.2</v>
      </c>
      <c r="E46" s="133">
        <v>0.24</v>
      </c>
      <c r="F46" s="133" t="s">
        <v>308</v>
      </c>
    </row>
    <row r="47" spans="1:10" s="1" customFormat="1" ht="18.5" x14ac:dyDescent="0.35">
      <c r="A47" s="131" t="s">
        <v>297</v>
      </c>
      <c r="B47" s="132">
        <v>46305</v>
      </c>
      <c r="C47" s="132">
        <v>46361</v>
      </c>
      <c r="D47" s="133">
        <v>0</v>
      </c>
      <c r="E47" s="133"/>
      <c r="F47" s="133" t="s">
        <v>308</v>
      </c>
    </row>
    <row r="48" spans="1:10" s="1" customFormat="1" ht="18.5" x14ac:dyDescent="0.35">
      <c r="A48" s="131" t="s">
        <v>303</v>
      </c>
      <c r="B48" s="132">
        <v>46327</v>
      </c>
      <c r="C48" s="132">
        <v>46361</v>
      </c>
      <c r="D48" s="133">
        <v>0</v>
      </c>
      <c r="E48" s="133"/>
      <c r="F48" s="133" t="s">
        <v>308</v>
      </c>
    </row>
    <row r="49" spans="1:10" s="1" customFormat="1" ht="18" x14ac:dyDescent="0.35">
      <c r="A49" s="135" t="s">
        <v>85</v>
      </c>
      <c r="B49" s="136"/>
      <c r="C49" s="136"/>
      <c r="D49" s="137"/>
      <c r="E49" s="137"/>
      <c r="F49" s="137"/>
    </row>
    <row r="50" spans="1:10" s="1" customFormat="1" ht="18.5" x14ac:dyDescent="0.35">
      <c r="A50" s="131" t="s">
        <v>46</v>
      </c>
      <c r="B50" s="132">
        <v>46268</v>
      </c>
      <c r="C50" s="132">
        <v>46353</v>
      </c>
      <c r="D50" s="133">
        <v>0.15</v>
      </c>
      <c r="E50" s="133">
        <v>0.18</v>
      </c>
      <c r="F50" s="133"/>
      <c r="J50" s="193"/>
    </row>
    <row r="51" spans="1:10" s="1" customFormat="1" ht="18.5" x14ac:dyDescent="0.35">
      <c r="A51" s="131" t="s">
        <v>320</v>
      </c>
      <c r="B51" s="132">
        <v>46270</v>
      </c>
      <c r="C51" s="132">
        <v>46347</v>
      </c>
      <c r="D51" s="133">
        <v>0.32</v>
      </c>
      <c r="E51" s="133">
        <v>0.37</v>
      </c>
      <c r="F51" s="133"/>
      <c r="J51" s="193"/>
    </row>
    <row r="52" spans="1:10" s="1" customFormat="1" ht="18.5" x14ac:dyDescent="0.35">
      <c r="A52" s="131" t="s">
        <v>48</v>
      </c>
      <c r="B52" s="132">
        <v>46361</v>
      </c>
      <c r="C52" s="132">
        <v>46376</v>
      </c>
      <c r="D52" s="133">
        <v>0</v>
      </c>
      <c r="E52" s="133"/>
      <c r="F52" s="133" t="s">
        <v>308</v>
      </c>
    </row>
    <row r="53" spans="1:10" s="1" customFormat="1" ht="18.5" x14ac:dyDescent="0.35">
      <c r="A53" s="131" t="s">
        <v>322</v>
      </c>
      <c r="B53" s="132">
        <v>46223</v>
      </c>
      <c r="C53" s="132">
        <v>46336</v>
      </c>
      <c r="D53" s="133">
        <v>0.39</v>
      </c>
      <c r="E53" s="133">
        <v>0.42</v>
      </c>
      <c r="F53" s="133"/>
      <c r="H53" s="193"/>
      <c r="I53" s="193"/>
      <c r="J53" s="193"/>
    </row>
    <row r="54" spans="1:10" s="1" customFormat="1" ht="18.5" x14ac:dyDescent="0.35">
      <c r="A54" s="131" t="s">
        <v>298</v>
      </c>
      <c r="B54" s="132">
        <v>46230</v>
      </c>
      <c r="C54" s="132">
        <v>46365</v>
      </c>
      <c r="D54" s="133">
        <v>0.45</v>
      </c>
      <c r="E54" s="133">
        <v>0.47</v>
      </c>
      <c r="F54" s="133"/>
      <c r="H54" s="193"/>
      <c r="I54" s="193"/>
      <c r="J54" s="193"/>
    </row>
    <row r="55" spans="1:10" s="1" customFormat="1" ht="18.5" x14ac:dyDescent="0.35">
      <c r="A55" s="131" t="s">
        <v>53</v>
      </c>
      <c r="B55" s="132">
        <v>46230</v>
      </c>
      <c r="C55" s="132">
        <v>46365</v>
      </c>
      <c r="D55" s="133">
        <v>0.22</v>
      </c>
      <c r="E55" s="133">
        <v>0.25</v>
      </c>
      <c r="F55" s="133"/>
      <c r="H55" s="193"/>
      <c r="I55" s="193"/>
    </row>
    <row r="56" spans="1:10" s="1" customFormat="1" ht="18.5" x14ac:dyDescent="0.35">
      <c r="A56" s="131" t="s">
        <v>56</v>
      </c>
      <c r="B56" s="132">
        <v>46189</v>
      </c>
      <c r="C56" s="132">
        <v>46364</v>
      </c>
      <c r="D56" s="133">
        <v>0.37</v>
      </c>
      <c r="E56" s="133">
        <v>0.42</v>
      </c>
      <c r="F56" s="133"/>
      <c r="G56" s="193"/>
      <c r="H56" s="193"/>
      <c r="I56" s="193"/>
    </row>
    <row r="57" spans="1:10" s="1" customFormat="1" ht="18.5" x14ac:dyDescent="0.35">
      <c r="A57" s="131" t="s">
        <v>57</v>
      </c>
      <c r="B57" s="132">
        <v>46189</v>
      </c>
      <c r="C57" s="132">
        <v>46353</v>
      </c>
      <c r="D57" s="133">
        <v>0.6</v>
      </c>
      <c r="E57" s="133">
        <v>0.63</v>
      </c>
      <c r="F57" s="133"/>
      <c r="G57" s="193"/>
      <c r="H57" s="193"/>
      <c r="I57" s="193"/>
    </row>
    <row r="58" spans="1:10" s="1" customFormat="1" ht="18.5" x14ac:dyDescent="0.35">
      <c r="A58" s="131" t="s">
        <v>58</v>
      </c>
      <c r="B58" s="132">
        <v>46305</v>
      </c>
      <c r="C58" s="132">
        <v>46321</v>
      </c>
      <c r="D58" s="133">
        <v>0</v>
      </c>
      <c r="E58" s="133"/>
      <c r="F58" s="133" t="s">
        <v>308</v>
      </c>
    </row>
    <row r="59" spans="1:10" s="1" customFormat="1" ht="18.5" x14ac:dyDescent="0.35">
      <c r="A59" s="131" t="s">
        <v>325</v>
      </c>
      <c r="B59" s="132">
        <v>46310</v>
      </c>
      <c r="C59" s="132">
        <v>46367</v>
      </c>
      <c r="D59" s="133">
        <v>0</v>
      </c>
      <c r="E59" s="133"/>
      <c r="F59" s="133" t="s">
        <v>308</v>
      </c>
    </row>
    <row r="60" spans="1:10" s="1" customFormat="1" ht="30" x14ac:dyDescent="0.35">
      <c r="A60" s="139" t="s">
        <v>86</v>
      </c>
      <c r="B60" s="189">
        <v>46346</v>
      </c>
      <c r="C60" s="189">
        <v>46366</v>
      </c>
      <c r="D60" s="140">
        <v>0</v>
      </c>
      <c r="E60" s="140"/>
      <c r="F60" s="183" t="s">
        <v>350</v>
      </c>
    </row>
    <row r="61" spans="1:10" s="1" customFormat="1" ht="18" x14ac:dyDescent="0.35">
      <c r="A61" s="135" t="s">
        <v>90</v>
      </c>
      <c r="B61" s="136"/>
      <c r="C61" s="136"/>
      <c r="D61" s="137"/>
      <c r="E61" s="137"/>
      <c r="F61" s="137"/>
    </row>
    <row r="62" spans="1:10" s="1" customFormat="1" ht="18.5" x14ac:dyDescent="0.35">
      <c r="A62" s="131" t="s">
        <v>91</v>
      </c>
      <c r="B62" s="132">
        <v>46310</v>
      </c>
      <c r="C62" s="132">
        <v>46351</v>
      </c>
      <c r="D62" s="133">
        <v>0</v>
      </c>
      <c r="E62" s="133"/>
      <c r="F62" s="133"/>
    </row>
    <row r="63" spans="1:10" s="1" customFormat="1" ht="18.5" x14ac:dyDescent="0.35">
      <c r="A63" s="131" t="s">
        <v>34</v>
      </c>
      <c r="B63" s="132">
        <v>46310</v>
      </c>
      <c r="C63" s="132">
        <v>46347</v>
      </c>
      <c r="D63" s="133">
        <v>0</v>
      </c>
      <c r="E63" s="133"/>
      <c r="F63" s="133"/>
    </row>
    <row r="64" spans="1:10" s="1" customFormat="1" ht="18.5" x14ac:dyDescent="0.35">
      <c r="A64" s="131" t="s">
        <v>93</v>
      </c>
      <c r="B64" s="132">
        <v>46331</v>
      </c>
      <c r="C64" s="132">
        <v>46372</v>
      </c>
      <c r="D64" s="133">
        <v>0</v>
      </c>
      <c r="E64" s="133"/>
      <c r="F64" s="133"/>
    </row>
    <row r="65" spans="1:6" ht="18.5" x14ac:dyDescent="0.35">
      <c r="A65" s="131" t="s">
        <v>294</v>
      </c>
      <c r="B65" s="132">
        <v>46331</v>
      </c>
      <c r="C65" s="132">
        <v>46366</v>
      </c>
      <c r="D65" s="133">
        <v>0.35</v>
      </c>
      <c r="E65" s="133">
        <v>0.41</v>
      </c>
      <c r="F65" s="133"/>
    </row>
    <row r="66" spans="1:6" ht="18.5" x14ac:dyDescent="0.35">
      <c r="A66" s="131" t="s">
        <v>293</v>
      </c>
      <c r="B66" s="132">
        <v>46275</v>
      </c>
      <c r="C66" s="132">
        <v>46361</v>
      </c>
      <c r="D66" s="133">
        <v>0.75</v>
      </c>
      <c r="E66" s="133">
        <v>0.77</v>
      </c>
      <c r="F66" s="133"/>
    </row>
    <row r="67" spans="1:6" ht="37" x14ac:dyDescent="0.35">
      <c r="A67" s="131" t="s">
        <v>292</v>
      </c>
      <c r="B67" s="132">
        <v>46295</v>
      </c>
      <c r="C67" s="132">
        <v>46341</v>
      </c>
      <c r="D67" s="133">
        <v>0</v>
      </c>
      <c r="E67" s="133"/>
      <c r="F67" s="133"/>
    </row>
    <row r="68" spans="1:6" s="1" customFormat="1" ht="23" x14ac:dyDescent="0.35">
      <c r="A68" s="162" t="s">
        <v>328</v>
      </c>
      <c r="B68" s="163"/>
      <c r="C68" s="163"/>
      <c r="D68" s="164"/>
      <c r="E68" s="164"/>
      <c r="F68" s="164"/>
    </row>
    <row r="69" spans="1:6" s="1" customFormat="1" ht="18.5" x14ac:dyDescent="0.35">
      <c r="A69" s="148" t="s">
        <v>351</v>
      </c>
      <c r="B69" s="132">
        <v>46295</v>
      </c>
      <c r="C69" s="132">
        <v>46331</v>
      </c>
      <c r="D69" s="133">
        <v>0</v>
      </c>
      <c r="E69" s="133"/>
      <c r="F69" s="133" t="s">
        <v>365</v>
      </c>
    </row>
    <row r="70" spans="1:6" s="1" customFormat="1" ht="18.5" x14ac:dyDescent="0.35">
      <c r="A70" s="148" t="s">
        <v>352</v>
      </c>
      <c r="B70" s="132">
        <v>46302</v>
      </c>
      <c r="C70" s="132">
        <v>46344</v>
      </c>
      <c r="D70" s="133">
        <v>0</v>
      </c>
      <c r="E70" s="133"/>
      <c r="F70" s="133" t="s">
        <v>365</v>
      </c>
    </row>
    <row r="71" spans="1:6" s="1" customFormat="1" ht="18.5" x14ac:dyDescent="0.35">
      <c r="A71" s="148" t="s">
        <v>351</v>
      </c>
      <c r="B71" s="132">
        <v>46306</v>
      </c>
      <c r="C71" s="132">
        <v>46354</v>
      </c>
      <c r="D71" s="133">
        <v>0</v>
      </c>
      <c r="E71" s="133"/>
      <c r="F71" s="133" t="s">
        <v>308</v>
      </c>
    </row>
    <row r="72" spans="1:6" s="1" customFormat="1" ht="18.5" x14ac:dyDescent="0.35">
      <c r="A72" s="148" t="s">
        <v>351</v>
      </c>
      <c r="B72" s="132">
        <v>46341</v>
      </c>
      <c r="C72" s="132">
        <v>46377</v>
      </c>
      <c r="D72" s="133">
        <v>0</v>
      </c>
      <c r="E72" s="133"/>
      <c r="F72" s="133" t="s">
        <v>308</v>
      </c>
    </row>
    <row r="73" spans="1:6" s="1" customFormat="1" ht="18.5" x14ac:dyDescent="0.35">
      <c r="A73" s="148" t="s">
        <v>351</v>
      </c>
      <c r="B73" s="132">
        <v>46319</v>
      </c>
      <c r="C73" s="132">
        <f>B73+45</f>
        <v>46364</v>
      </c>
      <c r="D73" s="133">
        <v>0</v>
      </c>
      <c r="E73" s="133"/>
      <c r="F73" s="133" t="s">
        <v>308</v>
      </c>
    </row>
    <row r="74" spans="1:6" s="1" customFormat="1" ht="18.5" x14ac:dyDescent="0.35">
      <c r="A74" s="148" t="s">
        <v>361</v>
      </c>
      <c r="B74" s="132">
        <v>46323</v>
      </c>
      <c r="C74" s="132">
        <f>B74+50</f>
        <v>46373</v>
      </c>
      <c r="D74" s="133">
        <v>0</v>
      </c>
      <c r="E74" s="133"/>
      <c r="F74" s="133" t="s">
        <v>308</v>
      </c>
    </row>
    <row r="75" spans="1:6" ht="23" x14ac:dyDescent="0.35">
      <c r="A75" s="162" t="s">
        <v>343</v>
      </c>
      <c r="B75" s="163"/>
      <c r="C75" s="163"/>
      <c r="D75" s="164"/>
      <c r="E75" s="164"/>
      <c r="F75" s="164"/>
    </row>
    <row r="76" spans="1:6" s="1" customFormat="1" ht="18.5" x14ac:dyDescent="0.35">
      <c r="A76" s="131" t="s">
        <v>353</v>
      </c>
      <c r="B76" s="132">
        <v>46275</v>
      </c>
      <c r="C76" s="132">
        <v>46303</v>
      </c>
      <c r="D76" s="133">
        <v>0.25</v>
      </c>
      <c r="E76" s="133">
        <v>0.28999999999999998</v>
      </c>
      <c r="F76" s="133"/>
    </row>
    <row r="77" spans="1:6" s="1" customFormat="1" ht="37" x14ac:dyDescent="0.35">
      <c r="A77" s="131" t="s">
        <v>302</v>
      </c>
      <c r="B77" s="132">
        <v>46320</v>
      </c>
      <c r="C77" s="132">
        <v>46336</v>
      </c>
      <c r="D77" s="133">
        <v>0</v>
      </c>
      <c r="E77" s="133"/>
      <c r="F77" s="133" t="s">
        <v>158</v>
      </c>
    </row>
    <row r="78" spans="1:6" s="1" customFormat="1" ht="18.5" x14ac:dyDescent="0.35">
      <c r="A78" s="131" t="s">
        <v>334</v>
      </c>
      <c r="B78" s="132">
        <v>46323</v>
      </c>
      <c r="C78" s="132">
        <v>46341</v>
      </c>
      <c r="D78" s="133">
        <v>0</v>
      </c>
      <c r="E78" s="133"/>
      <c r="F78" s="133" t="s">
        <v>158</v>
      </c>
    </row>
    <row r="79" spans="1:6" ht="23" x14ac:dyDescent="0.35">
      <c r="A79" s="4" t="s">
        <v>336</v>
      </c>
      <c r="B79" s="5"/>
      <c r="C79" s="5"/>
      <c r="D79" s="6"/>
      <c r="E79" s="6"/>
      <c r="F79" s="6"/>
    </row>
    <row r="80" spans="1:6" ht="18.5" x14ac:dyDescent="0.35">
      <c r="A80" s="131" t="s">
        <v>337</v>
      </c>
      <c r="B80" s="132">
        <v>46357</v>
      </c>
      <c r="C80" s="132">
        <v>46380</v>
      </c>
      <c r="D80" s="133"/>
      <c r="E80" s="133"/>
      <c r="F80" s="133"/>
    </row>
    <row r="81" spans="1:6" ht="18.5" x14ac:dyDescent="0.35">
      <c r="A81" s="131" t="s">
        <v>339</v>
      </c>
      <c r="B81" s="132">
        <v>46351</v>
      </c>
      <c r="C81" s="132">
        <v>46376</v>
      </c>
      <c r="D81" s="133"/>
      <c r="E81" s="133"/>
      <c r="F81" s="133"/>
    </row>
    <row r="82" spans="1:6" ht="18.5" x14ac:dyDescent="0.35">
      <c r="A82" s="131" t="s">
        <v>338</v>
      </c>
      <c r="B82" s="132">
        <v>46361</v>
      </c>
      <c r="C82" s="132">
        <v>46380</v>
      </c>
      <c r="D82" s="133"/>
      <c r="E82" s="133"/>
      <c r="F82" s="133"/>
    </row>
    <row r="83" spans="1:6" ht="18.5" x14ac:dyDescent="0.35">
      <c r="A83" s="131" t="s">
        <v>340</v>
      </c>
      <c r="B83" s="132">
        <v>46346</v>
      </c>
      <c r="C83" s="132">
        <v>46376</v>
      </c>
      <c r="D83" s="133"/>
      <c r="E83" s="133"/>
      <c r="F83" s="133"/>
    </row>
    <row r="84" spans="1:6" x14ac:dyDescent="0.4">
      <c r="B84" s="182"/>
    </row>
  </sheetData>
  <mergeCells count="14">
    <mergeCell ref="A3:A4"/>
    <mergeCell ref="B3:B4"/>
    <mergeCell ref="C3:C4"/>
    <mergeCell ref="D3:D4"/>
    <mergeCell ref="F3:F4"/>
    <mergeCell ref="E3:E4"/>
    <mergeCell ref="L3:L4"/>
    <mergeCell ref="M3:M4"/>
    <mergeCell ref="N3:N4"/>
    <mergeCell ref="G3:G4"/>
    <mergeCell ref="H3:H4"/>
    <mergeCell ref="I3:I4"/>
    <mergeCell ref="J3:J4"/>
    <mergeCell ref="K3:K4"/>
  </mergeCells>
  <conditionalFormatting sqref="G3:M3">
    <cfRule type="expression" dxfId="1139" priority="2017">
      <formula>G$3=period_selected</formula>
    </cfRule>
  </conditionalFormatting>
  <conditionalFormatting sqref="G6:M6 K7:M12 G12:J12 G13:M17 J18:M19 G19:H19 G20:M20 K21:M21 G22:M23 G24 K24:M24 G25:M26 G27 J27:M27 G28:M29 G30:I33 K30:M33 G34:M34 G35:H36 K35:M36 G37:M37 G38:H38 J38:M38 G39:M41 K42:M43 J44:M44 K45:M45 G46:M49 G50:I51 K50:M51 G52:M52 K53:M54 G53:G55 J55:M57 G58:M80">
    <cfRule type="expression" dxfId="1138" priority="2029">
      <formula>MOD(COLUMN(),2)=0</formula>
    </cfRule>
    <cfRule type="expression" dxfId="1137" priority="2028">
      <formula>MOD(COLUMN(),2)</formula>
    </cfRule>
    <cfRule type="expression" dxfId="1136" priority="2026">
      <formula>Plan</formula>
    </cfRule>
    <cfRule type="expression" dxfId="1135" priority="2025">
      <formula>ActualBeyond</formula>
    </cfRule>
    <cfRule type="expression" dxfId="1134" priority="2027">
      <formula>G$3=period_selected</formula>
    </cfRule>
  </conditionalFormatting>
  <conditionalFormatting sqref="G79:M83">
    <cfRule type="expression" dxfId="1133" priority="2162">
      <formula>AND($B79&lt;&gt;"",$C79&lt;&gt;"",$B79&lt;=EOMONTH(G$3,0),$C79&gt;=G$3)</formula>
    </cfRule>
  </conditionalFormatting>
  <conditionalFormatting sqref="G81:M83">
    <cfRule type="expression" dxfId="1132" priority="2163">
      <formula>AND($B81&lt;&gt;"",$C81&lt;&gt;"",$D81&gt;0,$B81&lt;=EOMONTH(G$3,0),($B81+(($C81-$B81)*$D81))&gt;=G$3)</formula>
    </cfRule>
    <cfRule type="expression" dxfId="1131" priority="2171">
      <formula>MOD(COLUMN(),2)</formula>
    </cfRule>
    <cfRule type="expression" dxfId="1130" priority="2170">
      <formula>G$3=period_selected</formula>
    </cfRule>
    <cfRule type="expression" dxfId="1129" priority="2169">
      <formula>Plan</formula>
    </cfRule>
    <cfRule type="expression" dxfId="1128" priority="2172">
      <formula>MOD(COLUMN(),2)=0</formula>
    </cfRule>
    <cfRule type="expression" dxfId="1127" priority="2168">
      <formula>ActualBeyond</formula>
    </cfRule>
    <cfRule type="expression" dxfId="1126" priority="2167">
      <formula>Actual</formula>
    </cfRule>
    <cfRule type="expression" dxfId="1125" priority="2166">
      <formula>PercentCompleteBeyond</formula>
    </cfRule>
    <cfRule type="expression" dxfId="1124" priority="2165">
      <formula>AND($B81&lt;&gt;"",$C81&lt;&gt;"",$D81&lt;&gt;"",$B81&lt;=EOMONTH(G$3,0),($B81+(($C81-$B81)*$D81))&gt;=G$3)</formula>
    </cfRule>
    <cfRule type="expression" dxfId="1123" priority="2164">
      <formula>AND($B81&lt;&gt;"",$C81&lt;&gt;"",$B81&lt;=EOMONTH(G$3,0),$C81&gt;=G$3)</formula>
    </cfRule>
  </conditionalFormatting>
  <conditionalFormatting sqref="G76:N80">
    <cfRule type="expression" dxfId="1122" priority="45">
      <formula>PercentCompleteBeyond</formula>
    </cfRule>
  </conditionalFormatting>
  <conditionalFormatting sqref="J9">
    <cfRule type="expression" dxfId="1121" priority="26">
      <formula>Plan</formula>
    </cfRule>
    <cfRule type="expression" dxfId="1120" priority="32">
      <formula>AND($B9&lt;&gt;"",$C9&lt;&gt;"",$D9&gt;0,$B9&lt;=EOMONTH(J$3,0),($B9+(($C9-$B9)*$D9))&gt;=J$3)</formula>
    </cfRule>
    <cfRule type="expression" dxfId="1119" priority="31">
      <formula>AND($B9&lt;&gt;"",$C9&lt;&gt;"",$B9&lt;=EOMONTH(J$3,0),$C9&gt;=J$3)</formula>
    </cfRule>
    <cfRule type="expression" dxfId="1118" priority="27">
      <formula>J$3=period_selected</formula>
    </cfRule>
    <cfRule type="expression" dxfId="1117" priority="24">
      <formula>Actual</formula>
    </cfRule>
    <cfRule type="expression" dxfId="1116" priority="25">
      <formula>ActualBeyond</formula>
    </cfRule>
    <cfRule type="expression" dxfId="1115" priority="28">
      <formula>MOD(COLUMN(),2)</formula>
    </cfRule>
    <cfRule type="expression" dxfId="1114" priority="29">
      <formula>MOD(COLUMN(),2)=0</formula>
    </cfRule>
    <cfRule type="expression" dxfId="1113" priority="30">
      <formula>AND($B9&lt;&gt;"",$C9&lt;&gt;"",$D9&lt;&gt;"",$B9&lt;=EOMONTH(J$3,0),($B9+(($C9-$B9)*$D9))&gt;=J$3)</formula>
    </cfRule>
  </conditionalFormatting>
  <conditionalFormatting sqref="J9:J10">
    <cfRule type="expression" dxfId="1112" priority="11">
      <formula>PercentCompleteBeyond</formula>
    </cfRule>
    <cfRule type="expression" dxfId="1111" priority="20">
      <formula>AND($B9&lt;&gt;"",$C9&lt;&gt;"",$B9&lt;=EOMONTH(J$3,0),$C9&gt;=J$3)</formula>
    </cfRule>
  </conditionalFormatting>
  <conditionalFormatting sqref="J10">
    <cfRule type="expression" dxfId="1110" priority="17">
      <formula>MOD(COLUMN(),2)</formula>
    </cfRule>
    <cfRule type="expression" dxfId="1109" priority="18">
      <formula>MOD(COLUMN(),2)=0</formula>
    </cfRule>
    <cfRule type="expression" dxfId="1108" priority="12">
      <formula>AND($B10&lt;&gt;"",$C10&lt;&gt;"",$B10&lt;=EOMONTH(J$3,0),$C10&gt;=J$3)</formula>
    </cfRule>
    <cfRule type="expression" dxfId="1107" priority="21">
      <formula>AND($B10&lt;&gt;"",$C10&lt;&gt;"",$D10&gt;0,$B10&lt;=EOMONTH(J$3,0),($B10+(($C10-$B10)*$D10))&gt;=J$3)</formula>
    </cfRule>
    <cfRule type="expression" dxfId="1106" priority="19">
      <formula>AND($B10&lt;&gt;"",$C10&lt;&gt;"",$D10&lt;&gt;"",$B10&lt;=EOMONTH(J$3,0),($B10+(($C10-$B10)*$D10))&gt;=J$3)</formula>
    </cfRule>
    <cfRule type="expression" dxfId="1105" priority="16">
      <formula>J$3=period_selected</formula>
    </cfRule>
    <cfRule type="expression" dxfId="1104" priority="13">
      <formula>Actual</formula>
    </cfRule>
    <cfRule type="expression" dxfId="1103" priority="14">
      <formula>ActualBeyond</formula>
    </cfRule>
    <cfRule type="expression" dxfId="1102" priority="15">
      <formula>Plan</formula>
    </cfRule>
  </conditionalFormatting>
  <conditionalFormatting sqref="K7:M12 G12:J12 G13:M17 J18:M19 G19:H19 G20:M20 K21:M21 G22:M23 G24 K24:M24 G25:M26 G27 J27:M27 G28:M29 G30:I33 K30:M33 G34:M34 G35:H36 K35:M36 G37:M37 G38:H38 J38:M38 G39:M41 K42:M43 J44:M44 K45:M45 G46:M49 G50:I51 K50:M51 G52:M52 K53:M54 G53:G55 J55:M57 G58:M74 G76:M78">
    <cfRule type="expression" dxfId="1101" priority="1997">
      <formula>AND($B7&lt;&gt;"",$C7&lt;&gt;"",$B7&lt;=EOMONTH(G$3,0),$C7&gt;=G$3)</formula>
    </cfRule>
  </conditionalFormatting>
  <conditionalFormatting sqref="K7:M12 G12:J12 G13:M17 J18:M19 G19:H19 G20:M20 K21:M21 G22:M23 G24 K24:M24 G25:M26 G27 J27:M27 G28:M29 G30:I33 K30:M33 G34:M34 G35:H36 K35:M36 G37:M37 G38:H38 J38:M38 G39:M41 K42:M43 J44:M44 K45:M45 G46:M49 G50:I51 K50:M51 G52:M52 K53:M54 G53:G55 J55:M57 G58:M74 G76:M83">
    <cfRule type="expression" dxfId="1100" priority="2159">
      <formula>AND($B7&lt;&gt;"",$C7&lt;&gt;"",$D7&gt;0,$B7&lt;=EOMONTH(G$3,0),($B7+(($C7-$B7)*$D7))&gt;=G$3)</formula>
    </cfRule>
  </conditionalFormatting>
  <conditionalFormatting sqref="K7:M12 G12:J12 G13:M17 J18:M19 G19:H19 G20:M20 K21:M21 G22:M23 G24 K24:M24 G25:M26 G27 J27:M27 G28:M29 G30:I33 K30:M33 G34:M34 G35:H36 K35:M36 G37:M37 G38:H38 J38:M38 G39:M41 K42:M43 J44:M44 K45:M45 G46:M49 G50:I51 K50:M51 G52:M52 K53:M54 G53:G55 J55:M57 G58:M80 G6:M6">
    <cfRule type="expression" dxfId="1099" priority="2024">
      <formula>Actual</formula>
    </cfRule>
  </conditionalFormatting>
  <conditionalFormatting sqref="K7:M12 G12:J12 G13:M17 J18:M19 G19:H19 G20:M20 K21:M21 G22:M23 G24 K24:M24 G25:M26 G27 J27:M27 G28:M29 G30:I33 K30:M33 G34:M34 G35:H36 K35:M36 G37:M37 G38:H38 J38:M38 G39:M41 K42:M43 J44:M44 K45:M45 G46:M49 G50:I51 K50:M51 G52:M52 K53:M54 G53:G55 J55:M57 G58:M80">
    <cfRule type="expression" dxfId="1098" priority="2155">
      <formula>AND($B7&lt;&gt;"",$C7&lt;&gt;"",$D7&lt;&gt;"",$B7&lt;=EOMONTH(G$3,0),($B7+(($C7-$B7)*$D7))&gt;=G$3)</formula>
    </cfRule>
    <cfRule type="expression" dxfId="1097" priority="2156">
      <formula>AND($B7&lt;&gt;"",$C7&lt;&gt;"",$B7&lt;=EOMONTH(G$3,0),$C7&gt;=G$3)</formula>
    </cfRule>
  </conditionalFormatting>
  <conditionalFormatting sqref="K7:N12 G13:N17 J18:N19 G20:N20 K21:N21 G22:N23 K24:N24 G25:N26 J27:N27 G28:N29 K30:N33 G34:N34 K35:N36 G37:N37 J38:N38 G39:N41 K42:N43 J44:N44 K45:N45 G46:N49 K50:N51 G52:N52 K53:N54 J55:N57 G58:N75 G6:N6 G12:J12 G19:H19 G24 G27 G30:I33 G35:H36 G38:H38 G50:I51 G53:G55">
    <cfRule type="expression" dxfId="1096" priority="347">
      <formula>PercentCompleteBeyond</formula>
    </cfRule>
  </conditionalFormatting>
  <conditionalFormatting sqref="M80">
    <cfRule type="expression" dxfId="1095" priority="2">
      <formula>AND($B80&lt;&gt;"",$C80&lt;&gt;"",$B80&lt;=EOMONTH(M$3,0),$C80&gt;=M$3)</formula>
    </cfRule>
    <cfRule type="expression" dxfId="1094" priority="3">
      <formula>AND($B80&lt;&gt;"",$C80&lt;&gt;"",$D80&lt;&gt;"",$B80&lt;=EOMONTH(M$3,0),($B80+(($C80-$B80)*$D80))&gt;=M$3)</formula>
    </cfRule>
    <cfRule type="expression" dxfId="1093" priority="4">
      <formula>PercentCompleteBeyond</formula>
    </cfRule>
    <cfRule type="expression" dxfId="1092" priority="5">
      <formula>Actual</formula>
    </cfRule>
    <cfRule type="expression" dxfId="1091" priority="7">
      <formula>Plan</formula>
    </cfRule>
    <cfRule type="expression" dxfId="1090" priority="1">
      <formula>AND($B80&lt;&gt;"",$C80&lt;&gt;"",$D80&gt;0,$B80&lt;=EOMONTH(M$3,0),($B80+(($C80-$B80)*$D80))&gt;=M$3)</formula>
    </cfRule>
    <cfRule type="expression" dxfId="1089" priority="8">
      <formula>M$3=period_selected</formula>
    </cfRule>
    <cfRule type="expression" dxfId="1088" priority="6">
      <formula>ActualBeyond</formula>
    </cfRule>
    <cfRule type="expression" dxfId="1087" priority="10">
      <formula>MOD(COLUMN(),2)=0</formula>
    </cfRule>
    <cfRule type="expression" dxfId="1086" priority="9">
      <formula>MOD(COLUMN(),2)</formula>
    </cfRule>
  </conditionalFormatting>
  <conditionalFormatting sqref="N6:N75">
    <cfRule type="expression" dxfId="1085" priority="353">
      <formula>MOD(COLUMN(),2)</formula>
    </cfRule>
    <cfRule type="expression" dxfId="1084" priority="354">
      <formula>MOD(COLUMN(),2)=0</formula>
    </cfRule>
    <cfRule type="expression" dxfId="1083" priority="348">
      <formula>Actual</formula>
    </cfRule>
    <cfRule type="expression" dxfId="1082" priority="349">
      <formula>ActualBeyond</formula>
    </cfRule>
    <cfRule type="expression" dxfId="1081" priority="350">
      <formula>Plan</formula>
    </cfRule>
    <cfRule type="expression" dxfId="1080" priority="351">
      <formula>N$4=period_selected</formula>
    </cfRule>
  </conditionalFormatting>
  <conditionalFormatting sqref="N7:N74 N79:N83">
    <cfRule type="expression" dxfId="1079" priority="2141">
      <formula>AND($B7&lt;&gt;"",$C7&lt;&gt;"",$D7&gt;0,$B7&lt;=EOMONTH(N$4,0),($B7+(($C7-$B7)*$D7))&gt;=N$4)</formula>
    </cfRule>
  </conditionalFormatting>
  <conditionalFormatting sqref="N12:N29 N31:N38 N40:N74 N79:N80">
    <cfRule type="expression" dxfId="1078" priority="2130">
      <formula>AND($B12&lt;&gt;"",$C12&lt;&gt;"",$D12&lt;&gt;"",$B12&lt;=EOMONTH(N$4,0),($B12+(($C12-$B12)*$D12))&gt;=N$4)</formula>
    </cfRule>
    <cfRule type="expression" dxfId="1077" priority="2131">
      <formula>AND($B12&lt;&gt;"",$C12&lt;&gt;"",$B12&lt;=EOMONTH(N$4,0),$C12&gt;=N$4)</formula>
    </cfRule>
  </conditionalFormatting>
  <conditionalFormatting sqref="N12:N29 N31:N38 N40:N74">
    <cfRule type="expression" dxfId="1076" priority="315">
      <formula>AND($B12&lt;&gt;"",$C12&lt;&gt;"",$B12&lt;=EOMONTH(N$4,0),$C12&gt;=N$4)</formula>
    </cfRule>
  </conditionalFormatting>
  <conditionalFormatting sqref="N76:N80">
    <cfRule type="expression" dxfId="1075" priority="46">
      <formula>Actual</formula>
    </cfRule>
    <cfRule type="expression" dxfId="1074" priority="50">
      <formula>MOD(COLUMN(),2)</formula>
    </cfRule>
    <cfRule type="expression" dxfId="1073" priority="51">
      <formula>MOD(COLUMN(),2)=0</formula>
    </cfRule>
    <cfRule type="expression" dxfId="1072" priority="48">
      <formula>Plan</formula>
    </cfRule>
    <cfRule type="expression" dxfId="1071" priority="47">
      <formula>ActualBeyond</formula>
    </cfRule>
    <cfRule type="expression" dxfId="1070" priority="49">
      <formula>N$4=period_selected</formula>
    </cfRule>
  </conditionalFormatting>
  <conditionalFormatting sqref="N79:N83">
    <cfRule type="expression" dxfId="1069" priority="2144">
      <formula>AND($B79&lt;&gt;"",$C79&lt;&gt;"",$B79&lt;=EOMONTH(N$4,0),$C79&gt;=N$4)</formula>
    </cfRule>
  </conditionalFormatting>
  <conditionalFormatting sqref="N81:N83">
    <cfRule type="expression" dxfId="1068" priority="2152">
      <formula>N$4=period_selected</formula>
    </cfRule>
    <cfRule type="expression" dxfId="1067" priority="2153">
      <formula>MOD(COLUMN(),2)</formula>
    </cfRule>
    <cfRule type="expression" dxfId="1066" priority="2145">
      <formula>AND($B81&lt;&gt;"",$C81&lt;&gt;"",$D81&gt;0,$B81&lt;=EOMONTH(N$4,0),($B81+(($C81-$B81)*$D81))&gt;=N$4)</formula>
    </cfRule>
    <cfRule type="expression" dxfId="1065" priority="2154">
      <formula>MOD(COLUMN(),2)=0</formula>
    </cfRule>
    <cfRule type="expression" dxfId="1064" priority="2146">
      <formula>AND($B81&lt;&gt;"",$C81&lt;&gt;"",$B81&lt;=EOMONTH(N$4,0),$C81&gt;=N$4)</formula>
    </cfRule>
    <cfRule type="expression" dxfId="1063" priority="2147">
      <formula>AND($B81&lt;&gt;"",$C81&lt;&gt;"",$D81&lt;&gt;"",$B81&lt;=EOMONTH(N$4,0),($B81+(($C81-$B81)*$D81))&gt;=N$4)</formula>
    </cfRule>
    <cfRule type="expression" dxfId="1062" priority="2149">
      <formula>Actual</formula>
    </cfRule>
    <cfRule type="expression" dxfId="1061" priority="2150">
      <formula>ActualBeyond</formula>
    </cfRule>
    <cfRule type="expression" dxfId="1060" priority="2151">
      <formula>Plan</formula>
    </cfRule>
    <cfRule type="expression" dxfId="1059" priority="2148">
      <formula>PercentCompleteBeyond</formula>
    </cfRule>
  </conditionalFormatting>
  <dataValidations count="7">
    <dataValidation allowBlank="1" showInputMessage="1" showErrorMessage="1" prompt="Title of the project. Enter a new title in this cell. Highlight a period in H2. Chart legend is in J2 to AI2" sqref="A1" xr:uid="{A7294839-6271-4FDC-96BD-AB850C2F9306}"/>
    <dataValidation allowBlank="1" showInputMessage="1" showErrorMessage="1" prompt="Enter the percentage of project completed in column G, starting with cell G5" sqref="D30:E30 D39:E39 D3:E5" xr:uid="{D73CBE3D-3876-46A4-AEEF-2C93EC87CA25}"/>
    <dataValidation allowBlank="1" showInputMessage="1" showErrorMessage="1" prompt="Enter plan start period in column C, starting with cell C5" sqref="B3:B5 B30" xr:uid="{457C6BB9-B179-4807-A00E-FEF746B62824}"/>
    <dataValidation allowBlank="1" showInputMessage="1" showErrorMessage="1" prompt="Enter activity in column B, starting with cell B5_x000a_" sqref="A3:A5 A39 A30" xr:uid="{AA08D46B-47A5-487C-9F83-252CDB7200BD}"/>
    <dataValidation allowBlank="1" showInputMessage="1" showErrorMessage="1" prompt="This legend cell indicates the percentage of project completed" sqref="K2" xr:uid="{F40A1BE5-9134-473D-9FD0-7B737F57E235}"/>
    <dataValidation allowBlank="1" showInputMessage="1" showErrorMessage="1" prompt="Enter actual duration period in column F, starting with cell F5" sqref="D39:E39 C30:E30 C3:E5" xr:uid="{5823A56D-FE87-49C6-A8D8-58BDC4B3A4D2}"/>
    <dataValidation allowBlank="1" showInputMessage="1" showErrorMessage="1" prompt="Select a period to highlight in H2. A Chart legend is in J2 to AI2" sqref="A2:E2" xr:uid="{7BA6C105-F671-46C7-BA9F-1721162E5128}"/>
  </dataValidations>
  <printOptions horizontalCentered="1"/>
  <pageMargins left="0.45" right="0.45" top="0.5" bottom="0.5" header="0.3" footer="0.3"/>
  <pageSetup paperSize="8" fitToHeight="0" orientation="landscape" r:id="rId1"/>
  <headerFooter differentFirst="1">
    <oddFooter>&amp;L_x000D_&amp;1#&amp;"Aptos"&amp;8&amp;K000000 Sensitivity: LNT Construction Internal Use</oddFooter>
    <firstFooter>&amp;L_x000D_&amp;1#&amp;"Aptos"&amp;8&amp;K000000 Sensitivity: LNT Construction Internal Use</first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C7287-CF2A-498D-876C-553C77A41E1D}">
  <sheetPr>
    <tabColor theme="7"/>
  </sheetPr>
  <dimension ref="A1:R157"/>
  <sheetViews>
    <sheetView showGridLines="0" topLeftCell="A36" zoomScale="62" zoomScaleNormal="100" zoomScaleSheetLayoutView="80" workbookViewId="0">
      <selection activeCell="E45" sqref="E45"/>
    </sheetView>
  </sheetViews>
  <sheetFormatPr defaultColWidth="2.75" defaultRowHeight="30" customHeight="1" x14ac:dyDescent="0.4"/>
  <cols>
    <col min="1" max="1" width="27.33203125" style="2" customWidth="1"/>
    <col min="2" max="2" width="15.33203125" style="1" customWidth="1"/>
    <col min="3" max="3" width="13.33203125" customWidth="1"/>
    <col min="4" max="4" width="15.58203125" style="3" customWidth="1"/>
    <col min="5" max="5" width="33.08203125" style="3" customWidth="1"/>
    <col min="6" max="6" width="8.58203125" style="1" bestFit="1" customWidth="1"/>
    <col min="7" max="7" width="8.25" style="1" bestFit="1" customWidth="1"/>
    <col min="8" max="8" width="10.5" style="1" customWidth="1"/>
    <col min="9" max="9" width="8.25" style="1" bestFit="1" customWidth="1"/>
    <col min="10" max="10" width="8.58203125" style="1" bestFit="1" customWidth="1"/>
    <col min="11" max="11" width="10.08203125" style="1" customWidth="1"/>
    <col min="12" max="12" width="14.08203125" style="1" customWidth="1"/>
  </cols>
  <sheetData>
    <row r="1" spans="1:18" ht="30.75" customHeight="1" x14ac:dyDescent="1.2">
      <c r="A1" s="47" t="s">
        <v>286</v>
      </c>
      <c r="B1" s="48"/>
      <c r="C1" s="49"/>
      <c r="D1" s="48"/>
      <c r="E1" s="48"/>
      <c r="F1" s="44"/>
      <c r="G1" s="44"/>
      <c r="H1" s="44"/>
      <c r="I1" s="44"/>
      <c r="J1" s="44"/>
      <c r="K1" s="44"/>
      <c r="L1" s="44"/>
      <c r="M1" s="21"/>
      <c r="N1" s="14"/>
      <c r="O1" s="14"/>
      <c r="P1" s="14"/>
      <c r="Q1" s="14"/>
      <c r="R1" s="14"/>
    </row>
    <row r="2" spans="1:18" ht="16" x14ac:dyDescent="0.4">
      <c r="A2" s="37"/>
      <c r="B2" s="37"/>
      <c r="C2" s="37"/>
      <c r="D2" s="167"/>
      <c r="E2" s="167"/>
      <c r="F2" s="180"/>
      <c r="G2" s="40"/>
      <c r="H2" s="41"/>
      <c r="I2" s="42" t="s">
        <v>5</v>
      </c>
      <c r="J2" s="42"/>
      <c r="K2" s="43"/>
      <c r="L2" s="166" t="s">
        <v>32</v>
      </c>
      <c r="M2" s="21"/>
      <c r="N2" s="14"/>
      <c r="O2" s="14"/>
      <c r="P2" s="14"/>
      <c r="Q2" s="14"/>
      <c r="R2" s="14"/>
    </row>
    <row r="3" spans="1:18" s="11" customFormat="1" ht="16" x14ac:dyDescent="0.4">
      <c r="A3" s="247" t="s">
        <v>1</v>
      </c>
      <c r="B3" s="248" t="s">
        <v>304</v>
      </c>
      <c r="C3" s="248" t="s">
        <v>305</v>
      </c>
      <c r="D3" s="248" t="s">
        <v>4</v>
      </c>
      <c r="E3" s="248" t="s">
        <v>306</v>
      </c>
      <c r="F3" s="12"/>
      <c r="G3" s="13"/>
      <c r="H3" s="24"/>
      <c r="I3" s="20"/>
      <c r="J3" s="20"/>
      <c r="K3" s="20"/>
      <c r="L3" s="20"/>
    </row>
    <row r="4" spans="1:18" ht="38.15" customHeight="1" x14ac:dyDescent="0.35">
      <c r="A4" s="247"/>
      <c r="B4" s="248"/>
      <c r="C4" s="248"/>
      <c r="D4" s="248"/>
      <c r="E4" s="248"/>
      <c r="F4" s="22">
        <v>46174</v>
      </c>
      <c r="G4" s="22">
        <f t="shared" ref="G4:L4" si="0">EDATE(F4,1)</f>
        <v>46204</v>
      </c>
      <c r="H4" s="22">
        <f t="shared" si="0"/>
        <v>46235</v>
      </c>
      <c r="I4" s="22">
        <f t="shared" si="0"/>
        <v>46266</v>
      </c>
      <c r="J4" s="22">
        <f t="shared" si="0"/>
        <v>46296</v>
      </c>
      <c r="K4" s="22">
        <f t="shared" si="0"/>
        <v>46327</v>
      </c>
      <c r="L4" s="22">
        <f t="shared" si="0"/>
        <v>46357</v>
      </c>
    </row>
    <row r="5" spans="1:18" ht="23" x14ac:dyDescent="0.35">
      <c r="A5" s="158" t="s">
        <v>6</v>
      </c>
      <c r="B5" s="159"/>
      <c r="C5" s="160"/>
      <c r="D5" s="177">
        <v>1</v>
      </c>
      <c r="E5" s="161"/>
      <c r="F5" s="155"/>
      <c r="G5" s="156"/>
      <c r="H5" s="175"/>
      <c r="I5" s="175"/>
      <c r="J5" s="175"/>
      <c r="K5" s="175"/>
      <c r="L5" s="176"/>
    </row>
    <row r="6" spans="1:18" ht="30" customHeight="1" x14ac:dyDescent="0.35">
      <c r="A6" s="162" t="s">
        <v>7</v>
      </c>
      <c r="B6" s="163"/>
      <c r="C6" s="163"/>
      <c r="D6" s="164"/>
      <c r="E6" s="164"/>
    </row>
    <row r="7" spans="1:18" ht="42" customHeight="1" x14ac:dyDescent="0.35">
      <c r="A7" s="131" t="s">
        <v>8</v>
      </c>
      <c r="B7" s="132">
        <v>45843</v>
      </c>
      <c r="C7" s="132">
        <v>46305</v>
      </c>
      <c r="D7" s="133">
        <v>0.95</v>
      </c>
      <c r="E7" s="133"/>
    </row>
    <row r="8" spans="1:18" ht="30" customHeight="1" x14ac:dyDescent="0.35">
      <c r="A8" s="131" t="s">
        <v>278</v>
      </c>
      <c r="B8" s="132">
        <v>45881</v>
      </c>
      <c r="C8" s="132">
        <v>46315</v>
      </c>
      <c r="D8" s="133">
        <v>0.84</v>
      </c>
      <c r="E8" s="133"/>
    </row>
    <row r="9" spans="1:18" ht="30" customHeight="1" x14ac:dyDescent="0.35">
      <c r="A9" s="131" t="s">
        <v>291</v>
      </c>
      <c r="B9" s="132">
        <v>46091</v>
      </c>
      <c r="C9" s="132">
        <v>46371</v>
      </c>
      <c r="D9" s="133">
        <v>0.55000000000000004</v>
      </c>
      <c r="E9" s="133"/>
    </row>
    <row r="10" spans="1:18" ht="18.5" x14ac:dyDescent="0.35">
      <c r="A10" s="131" t="s">
        <v>75</v>
      </c>
      <c r="B10" s="132">
        <v>46063</v>
      </c>
      <c r="C10" s="132">
        <v>46356</v>
      </c>
      <c r="D10" s="133">
        <v>0.65</v>
      </c>
      <c r="E10" s="133"/>
    </row>
    <row r="11" spans="1:18" ht="18.5" x14ac:dyDescent="0.35">
      <c r="A11" s="131" t="s">
        <v>11</v>
      </c>
      <c r="B11" s="132">
        <v>46193</v>
      </c>
      <c r="C11" s="132">
        <v>46374</v>
      </c>
      <c r="D11" s="133">
        <v>0.2</v>
      </c>
      <c r="E11" s="133"/>
    </row>
    <row r="12" spans="1:18" ht="30" hidden="1" customHeight="1" x14ac:dyDescent="0.35">
      <c r="A12" s="131" t="s">
        <v>76</v>
      </c>
      <c r="B12" s="132"/>
      <c r="C12" s="132"/>
      <c r="D12" s="133"/>
      <c r="E12" s="133"/>
    </row>
    <row r="13" spans="1:18" ht="30" hidden="1" customHeight="1" x14ac:dyDescent="0.35">
      <c r="A13" s="131" t="s">
        <v>77</v>
      </c>
      <c r="B13" s="132"/>
      <c r="C13" s="132"/>
      <c r="D13" s="133"/>
      <c r="E13" s="133"/>
    </row>
    <row r="14" spans="1:18" ht="30" hidden="1" customHeight="1" x14ac:dyDescent="0.35">
      <c r="A14" s="131" t="s">
        <v>78</v>
      </c>
      <c r="B14" s="132"/>
      <c r="C14" s="132"/>
      <c r="D14" s="133"/>
      <c r="E14" s="133"/>
    </row>
    <row r="15" spans="1:18" ht="30" hidden="1" customHeight="1" x14ac:dyDescent="0.35">
      <c r="A15" s="131" t="s">
        <v>79</v>
      </c>
      <c r="B15" s="132"/>
      <c r="C15" s="132"/>
      <c r="D15" s="133"/>
      <c r="E15" s="133"/>
    </row>
    <row r="16" spans="1:18" ht="30" customHeight="1" x14ac:dyDescent="0.35">
      <c r="A16" s="131" t="s">
        <v>341</v>
      </c>
      <c r="B16" s="132">
        <v>46344</v>
      </c>
      <c r="C16" s="132">
        <v>46384</v>
      </c>
      <c r="D16" s="133">
        <v>0</v>
      </c>
      <c r="E16" s="133" t="s">
        <v>354</v>
      </c>
    </row>
    <row r="17" spans="1:5" ht="30" customHeight="1" x14ac:dyDescent="0.35">
      <c r="A17" s="131" t="s">
        <v>13</v>
      </c>
      <c r="B17" s="132">
        <v>46336</v>
      </c>
      <c r="C17" s="132">
        <v>46376</v>
      </c>
      <c r="D17" s="133">
        <v>0</v>
      </c>
      <c r="E17" s="133" t="s">
        <v>355</v>
      </c>
    </row>
    <row r="18" spans="1:5" ht="30" customHeight="1" x14ac:dyDescent="0.35">
      <c r="A18" s="162" t="s">
        <v>295</v>
      </c>
      <c r="B18" s="163"/>
      <c r="C18" s="163"/>
      <c r="D18" s="164"/>
      <c r="E18" s="164"/>
    </row>
    <row r="19" spans="1:5" ht="30" customHeight="1" x14ac:dyDescent="0.35">
      <c r="A19" s="131" t="s">
        <v>20</v>
      </c>
      <c r="B19" s="132">
        <v>46239</v>
      </c>
      <c r="C19" s="132">
        <v>46355</v>
      </c>
      <c r="D19" s="133">
        <v>0.45</v>
      </c>
      <c r="E19" s="133"/>
    </row>
    <row r="20" spans="1:5" ht="30" customHeight="1" x14ac:dyDescent="0.35">
      <c r="A20" s="131" t="s">
        <v>21</v>
      </c>
      <c r="B20" s="132">
        <v>46252</v>
      </c>
      <c r="C20" s="132">
        <v>46368</v>
      </c>
      <c r="D20" s="133">
        <v>0.12</v>
      </c>
      <c r="E20" s="133"/>
    </row>
    <row r="21" spans="1:5" ht="30" customHeight="1" x14ac:dyDescent="0.35">
      <c r="A21" s="131" t="s">
        <v>22</v>
      </c>
      <c r="B21" s="132">
        <v>46270</v>
      </c>
      <c r="C21" s="132">
        <v>46384</v>
      </c>
      <c r="D21" s="133">
        <v>0.28000000000000003</v>
      </c>
      <c r="E21" s="133"/>
    </row>
    <row r="22" spans="1:5" ht="30" customHeight="1" x14ac:dyDescent="0.35">
      <c r="A22" s="131" t="s">
        <v>23</v>
      </c>
      <c r="B22" s="132">
        <v>46244</v>
      </c>
      <c r="C22" s="132">
        <v>46386</v>
      </c>
      <c r="D22" s="133">
        <v>0.41</v>
      </c>
      <c r="E22" s="133"/>
    </row>
    <row r="23" spans="1:5" ht="30" customHeight="1" x14ac:dyDescent="0.35">
      <c r="A23" s="135" t="s">
        <v>317</v>
      </c>
      <c r="B23" s="136"/>
      <c r="C23" s="136"/>
      <c r="D23" s="137"/>
      <c r="E23" s="137"/>
    </row>
    <row r="24" spans="1:5" ht="30" customHeight="1" x14ac:dyDescent="0.35">
      <c r="A24" s="135" t="s">
        <v>318</v>
      </c>
      <c r="B24" s="181"/>
      <c r="C24" s="181"/>
      <c r="D24" s="137"/>
      <c r="E24" s="137"/>
    </row>
    <row r="25" spans="1:5" s="1" customFormat="1" ht="30" customHeight="1" x14ac:dyDescent="0.35">
      <c r="A25" s="131" t="s">
        <v>357</v>
      </c>
      <c r="B25" s="132">
        <v>46223</v>
      </c>
      <c r="C25" s="132">
        <v>46382</v>
      </c>
      <c r="D25" s="133">
        <v>0.45</v>
      </c>
      <c r="E25" s="133"/>
    </row>
    <row r="26" spans="1:5" s="1" customFormat="1" ht="30" customHeight="1" x14ac:dyDescent="0.35">
      <c r="A26" s="131" t="s">
        <v>296</v>
      </c>
      <c r="B26" s="132">
        <v>46202</v>
      </c>
      <c r="C26" s="132">
        <v>46371</v>
      </c>
      <c r="D26" s="133">
        <v>0.52</v>
      </c>
      <c r="E26" s="133"/>
    </row>
    <row r="27" spans="1:5" s="1" customFormat="1" ht="30" customHeight="1" x14ac:dyDescent="0.35">
      <c r="A27" s="135" t="s">
        <v>85</v>
      </c>
      <c r="B27" s="181"/>
      <c r="C27" s="181"/>
      <c r="D27" s="137"/>
      <c r="E27" s="137"/>
    </row>
    <row r="28" spans="1:5" s="1" customFormat="1" ht="30" customHeight="1" x14ac:dyDescent="0.35">
      <c r="A28" s="131" t="s">
        <v>46</v>
      </c>
      <c r="B28" s="132">
        <v>46252</v>
      </c>
      <c r="C28" s="132">
        <v>46366</v>
      </c>
      <c r="D28" s="133">
        <v>0.22</v>
      </c>
      <c r="E28" s="133"/>
    </row>
    <row r="29" spans="1:5" s="1" customFormat="1" ht="30" customHeight="1" x14ac:dyDescent="0.35">
      <c r="A29" s="131" t="s">
        <v>320</v>
      </c>
      <c r="B29" s="132">
        <v>46263</v>
      </c>
      <c r="C29" s="132">
        <v>46336</v>
      </c>
      <c r="D29" s="133">
        <v>0.55000000000000004</v>
      </c>
      <c r="E29" s="133"/>
    </row>
    <row r="30" spans="1:5" s="1" customFormat="1" ht="30" customHeight="1" x14ac:dyDescent="0.35">
      <c r="A30" s="131" t="s">
        <v>323</v>
      </c>
      <c r="B30" s="132">
        <v>46275</v>
      </c>
      <c r="C30" s="132">
        <v>46370</v>
      </c>
      <c r="D30" s="133">
        <v>0.14000000000000001</v>
      </c>
      <c r="E30" s="133"/>
    </row>
    <row r="31" spans="1:5" s="1" customFormat="1" ht="30" customHeight="1" x14ac:dyDescent="0.35">
      <c r="A31" s="131" t="s">
        <v>53</v>
      </c>
      <c r="B31" s="132">
        <v>46195</v>
      </c>
      <c r="C31" s="132">
        <v>46341</v>
      </c>
      <c r="D31" s="133">
        <v>0.82</v>
      </c>
      <c r="E31" s="133"/>
    </row>
    <row r="32" spans="1:5" s="1" customFormat="1" ht="30" customHeight="1" x14ac:dyDescent="0.35">
      <c r="A32" s="131" t="s">
        <v>55</v>
      </c>
      <c r="B32" s="132">
        <v>46231</v>
      </c>
      <c r="C32" s="132">
        <v>46377</v>
      </c>
      <c r="D32" s="133">
        <v>0.42</v>
      </c>
      <c r="E32" s="133"/>
    </row>
    <row r="33" spans="1:5" s="1" customFormat="1" ht="30" customHeight="1" x14ac:dyDescent="0.35">
      <c r="A33" s="131" t="s">
        <v>56</v>
      </c>
      <c r="B33" s="132">
        <v>46203</v>
      </c>
      <c r="C33" s="132">
        <v>46374</v>
      </c>
      <c r="D33" s="133">
        <v>0.57999999999999996</v>
      </c>
      <c r="E33" s="133"/>
    </row>
    <row r="34" spans="1:5" s="1" customFormat="1" ht="30" customHeight="1" x14ac:dyDescent="0.35">
      <c r="A34" s="131" t="s">
        <v>57</v>
      </c>
      <c r="B34" s="132">
        <v>46217</v>
      </c>
      <c r="C34" s="132">
        <v>46376</v>
      </c>
      <c r="D34" s="133">
        <v>0.41</v>
      </c>
      <c r="E34" s="133"/>
    </row>
    <row r="35" spans="1:5" s="1" customFormat="1" ht="30" customHeight="1" x14ac:dyDescent="0.35">
      <c r="A35" s="131" t="s">
        <v>325</v>
      </c>
      <c r="B35" s="132">
        <v>46237</v>
      </c>
      <c r="C35" s="132">
        <v>46378</v>
      </c>
      <c r="D35" s="133">
        <v>0.35</v>
      </c>
      <c r="E35" s="133"/>
    </row>
    <row r="36" spans="1:5" s="1" customFormat="1" ht="30" customHeight="1" x14ac:dyDescent="0.35">
      <c r="A36" s="162" t="s">
        <v>328</v>
      </c>
      <c r="B36" s="163"/>
      <c r="C36" s="163"/>
      <c r="D36" s="164"/>
      <c r="E36" s="164"/>
    </row>
    <row r="37" spans="1:5" s="1" customFormat="1" ht="30" customHeight="1" x14ac:dyDescent="0.35">
      <c r="A37" s="148" t="s">
        <v>351</v>
      </c>
      <c r="B37" s="132">
        <f>C37-45</f>
        <v>46232</v>
      </c>
      <c r="C37" s="132">
        <v>46277</v>
      </c>
      <c r="D37" s="133">
        <v>1</v>
      </c>
      <c r="E37" s="133"/>
    </row>
    <row r="38" spans="1:5" s="1" customFormat="1" ht="30" customHeight="1" x14ac:dyDescent="0.35">
      <c r="A38" s="148" t="s">
        <v>351</v>
      </c>
      <c r="B38" s="132">
        <v>46307</v>
      </c>
      <c r="C38" s="132">
        <f>B38+50</f>
        <v>46357</v>
      </c>
      <c r="D38" s="133">
        <v>0</v>
      </c>
      <c r="E38" s="133" t="s">
        <v>158</v>
      </c>
    </row>
    <row r="39" spans="1:5" s="1" customFormat="1" ht="30" customHeight="1" x14ac:dyDescent="0.35">
      <c r="A39" s="148" t="s">
        <v>351</v>
      </c>
      <c r="B39" s="132">
        <v>46313</v>
      </c>
      <c r="C39" s="132">
        <f>B39+50</f>
        <v>46363</v>
      </c>
      <c r="D39" s="133">
        <v>0</v>
      </c>
      <c r="E39" s="133" t="s">
        <v>158</v>
      </c>
    </row>
    <row r="40" spans="1:5" s="1" customFormat="1" ht="30" customHeight="1" x14ac:dyDescent="0.35">
      <c r="A40" s="4" t="s">
        <v>343</v>
      </c>
      <c r="B40" s="5"/>
      <c r="C40" s="5"/>
      <c r="D40" s="6"/>
      <c r="E40" s="6"/>
    </row>
    <row r="41" spans="1:5" s="1" customFormat="1" ht="37" customHeight="1" x14ac:dyDescent="0.35">
      <c r="A41" s="131" t="s">
        <v>359</v>
      </c>
      <c r="B41" s="132">
        <v>46275</v>
      </c>
      <c r="C41" s="132">
        <v>46303</v>
      </c>
      <c r="D41" s="133">
        <v>0.28000000000000003</v>
      </c>
      <c r="E41" s="133"/>
    </row>
    <row r="42" spans="1:5" s="1" customFormat="1" ht="30" customHeight="1" x14ac:dyDescent="0.35">
      <c r="A42" s="131" t="s">
        <v>302</v>
      </c>
      <c r="B42" s="132">
        <v>46320</v>
      </c>
      <c r="C42" s="132">
        <v>46336</v>
      </c>
      <c r="D42" s="133">
        <v>0</v>
      </c>
      <c r="E42" s="133" t="s">
        <v>158</v>
      </c>
    </row>
    <row r="43" spans="1:5" s="1" customFormat="1" ht="30" customHeight="1" x14ac:dyDescent="0.35">
      <c r="A43" s="131" t="s">
        <v>334</v>
      </c>
      <c r="B43" s="132">
        <v>46323</v>
      </c>
      <c r="C43" s="132">
        <v>46341</v>
      </c>
      <c r="D43" s="133">
        <v>0</v>
      </c>
      <c r="E43" s="133" t="s">
        <v>158</v>
      </c>
    </row>
    <row r="44" spans="1:5" s="1" customFormat="1" ht="30" customHeight="1" x14ac:dyDescent="0.35">
      <c r="A44" s="4" t="s">
        <v>336</v>
      </c>
      <c r="B44" s="5"/>
      <c r="C44" s="5"/>
      <c r="D44" s="6"/>
      <c r="E44" s="6"/>
    </row>
    <row r="45" spans="1:5" s="1" customFormat="1" ht="30" customHeight="1" x14ac:dyDescent="0.35">
      <c r="A45" s="131" t="s">
        <v>337</v>
      </c>
      <c r="B45" s="132">
        <v>46357</v>
      </c>
      <c r="C45" s="132">
        <v>46380</v>
      </c>
      <c r="D45" s="133"/>
      <c r="E45" s="133"/>
    </row>
    <row r="46" spans="1:5" s="1" customFormat="1" ht="30" customHeight="1" x14ac:dyDescent="0.35">
      <c r="A46" s="131" t="s">
        <v>339</v>
      </c>
      <c r="B46" s="132">
        <v>46351</v>
      </c>
      <c r="C46" s="132">
        <v>46376</v>
      </c>
      <c r="D46" s="133"/>
      <c r="E46" s="133"/>
    </row>
    <row r="47" spans="1:5" s="1" customFormat="1" ht="30" customHeight="1" x14ac:dyDescent="0.35">
      <c r="A47" s="131" t="s">
        <v>338</v>
      </c>
      <c r="B47" s="132">
        <v>46361</v>
      </c>
      <c r="C47" s="132">
        <v>46380</v>
      </c>
      <c r="D47" s="133"/>
      <c r="E47" s="133"/>
    </row>
    <row r="48" spans="1:5" s="1" customFormat="1" ht="30" customHeight="1" x14ac:dyDescent="0.35">
      <c r="A48" s="131" t="s">
        <v>340</v>
      </c>
      <c r="B48" s="132">
        <v>46346</v>
      </c>
      <c r="C48" s="132">
        <v>46376</v>
      </c>
      <c r="D48" s="133"/>
      <c r="E48" s="133"/>
    </row>
    <row r="49" spans="1:12" s="1" customFormat="1" ht="30" customHeight="1" x14ac:dyDescent="0.35">
      <c r="A49" s="123"/>
      <c r="B49" s="124"/>
      <c r="C49" s="124"/>
      <c r="D49" s="125"/>
      <c r="E49" s="125"/>
      <c r="F49" s="128"/>
      <c r="G49" s="128"/>
      <c r="H49" s="128"/>
      <c r="I49" s="128"/>
      <c r="J49" s="128"/>
      <c r="K49" s="128"/>
      <c r="L49" s="128"/>
    </row>
    <row r="50" spans="1:12" s="1" customFormat="1" ht="30" customHeight="1" x14ac:dyDescent="0.35">
      <c r="A50" s="126"/>
      <c r="B50" s="127"/>
      <c r="C50" s="127"/>
      <c r="D50" s="128"/>
      <c r="E50" s="128"/>
      <c r="F50" s="128"/>
      <c r="G50" s="128"/>
      <c r="H50" s="128"/>
      <c r="I50" s="128"/>
      <c r="J50" s="128"/>
      <c r="K50" s="128"/>
      <c r="L50" s="128"/>
    </row>
    <row r="51" spans="1:12" s="1" customFormat="1" ht="30" customHeight="1" x14ac:dyDescent="0.35">
      <c r="A51" s="126"/>
      <c r="B51" s="127"/>
      <c r="C51" s="127"/>
      <c r="D51" s="128"/>
      <c r="E51" s="128"/>
      <c r="F51" s="128"/>
      <c r="G51" s="128"/>
      <c r="H51" s="128"/>
      <c r="I51" s="128"/>
      <c r="J51" s="128"/>
      <c r="K51" s="128"/>
      <c r="L51" s="128"/>
    </row>
    <row r="52" spans="1:12" s="1" customFormat="1" ht="30" customHeight="1" x14ac:dyDescent="0.35">
      <c r="A52" s="123"/>
      <c r="B52" s="124"/>
      <c r="C52" s="124"/>
      <c r="D52" s="125"/>
      <c r="E52" s="125"/>
      <c r="F52" s="128"/>
      <c r="G52" s="128"/>
      <c r="H52" s="128"/>
      <c r="I52" s="128"/>
      <c r="J52" s="128"/>
      <c r="K52" s="128"/>
      <c r="L52" s="128"/>
    </row>
    <row r="53" spans="1:12" s="1" customFormat="1" ht="30" customHeight="1" x14ac:dyDescent="0.35">
      <c r="A53" s="126"/>
      <c r="B53" s="127"/>
      <c r="C53" s="127"/>
      <c r="D53" s="128"/>
      <c r="E53" s="128"/>
      <c r="F53" s="128"/>
      <c r="G53" s="128"/>
      <c r="H53" s="128"/>
      <c r="I53" s="128"/>
      <c r="J53" s="128"/>
      <c r="K53" s="128"/>
      <c r="L53" s="128"/>
    </row>
    <row r="54" spans="1:12" s="1" customFormat="1" ht="30" customHeight="1" x14ac:dyDescent="0.35">
      <c r="A54" s="123"/>
      <c r="B54" s="124"/>
      <c r="C54" s="124"/>
      <c r="D54" s="125"/>
      <c r="E54" s="125"/>
      <c r="F54" s="128"/>
      <c r="G54" s="128"/>
      <c r="H54" s="128"/>
      <c r="I54" s="128"/>
      <c r="J54" s="128"/>
      <c r="K54" s="128"/>
      <c r="L54" s="128"/>
    </row>
    <row r="55" spans="1:12" s="1" customFormat="1" ht="30" customHeight="1" x14ac:dyDescent="0.35">
      <c r="A55" s="126"/>
      <c r="B55" s="127"/>
      <c r="C55" s="127"/>
      <c r="D55" s="128"/>
      <c r="E55" s="128"/>
      <c r="F55" s="128"/>
      <c r="G55" s="128"/>
      <c r="H55" s="128"/>
      <c r="I55" s="128"/>
      <c r="J55" s="128"/>
      <c r="K55" s="128"/>
      <c r="L55" s="128"/>
    </row>
    <row r="56" spans="1:12" s="1" customFormat="1" ht="30" customHeight="1" x14ac:dyDescent="0.35">
      <c r="A56" s="126"/>
      <c r="B56" s="127"/>
      <c r="C56" s="127"/>
      <c r="D56" s="128"/>
      <c r="E56" s="128"/>
      <c r="F56" s="128"/>
      <c r="G56" s="128"/>
      <c r="H56" s="128"/>
      <c r="I56" s="128"/>
      <c r="J56" s="128"/>
      <c r="K56" s="128"/>
      <c r="L56" s="128"/>
    </row>
    <row r="57" spans="1:12" s="1" customFormat="1" ht="30" customHeight="1" x14ac:dyDescent="0.35">
      <c r="A57" s="126"/>
      <c r="B57" s="127"/>
      <c r="C57" s="127"/>
      <c r="D57" s="128"/>
      <c r="E57" s="128"/>
      <c r="F57" s="128"/>
      <c r="G57" s="128"/>
      <c r="H57" s="128"/>
      <c r="I57" s="128"/>
      <c r="J57" s="128"/>
      <c r="K57" s="128"/>
      <c r="L57" s="128"/>
    </row>
    <row r="58" spans="1:12" ht="30" customHeight="1" x14ac:dyDescent="0.4">
      <c r="F58" s="128"/>
      <c r="G58" s="128"/>
      <c r="H58" s="128"/>
      <c r="I58" s="128"/>
      <c r="J58" s="128"/>
      <c r="K58" s="128"/>
      <c r="L58" s="128"/>
    </row>
    <row r="59" spans="1:12" ht="30" customHeight="1" x14ac:dyDescent="0.4">
      <c r="F59" s="128"/>
      <c r="G59" s="128"/>
      <c r="H59" s="128"/>
      <c r="I59" s="128"/>
      <c r="J59" s="128"/>
      <c r="K59" s="128"/>
      <c r="L59" s="128"/>
    </row>
    <row r="60" spans="1:12" ht="30" customHeight="1" x14ac:dyDescent="0.4">
      <c r="F60" s="128"/>
      <c r="G60" s="128"/>
      <c r="H60" s="128"/>
      <c r="I60" s="128"/>
      <c r="J60" s="128"/>
      <c r="K60" s="128"/>
      <c r="L60" s="128"/>
    </row>
    <row r="61" spans="1:12" ht="30" customHeight="1" x14ac:dyDescent="0.4">
      <c r="F61" s="128"/>
      <c r="G61" s="128"/>
      <c r="H61" s="128"/>
      <c r="I61" s="128"/>
      <c r="J61" s="128"/>
      <c r="K61" s="128"/>
      <c r="L61" s="128"/>
    </row>
    <row r="62" spans="1:12" ht="30" customHeight="1" x14ac:dyDescent="0.4">
      <c r="F62" s="128"/>
      <c r="G62" s="128"/>
      <c r="H62" s="128"/>
      <c r="I62" s="128"/>
      <c r="J62" s="128"/>
      <c r="K62" s="128"/>
      <c r="L62" s="128"/>
    </row>
    <row r="63" spans="1:12" ht="30" customHeight="1" x14ac:dyDescent="0.4">
      <c r="F63" s="128"/>
      <c r="G63" s="128"/>
      <c r="H63" s="128"/>
      <c r="I63" s="128"/>
      <c r="J63" s="128"/>
      <c r="K63" s="128"/>
      <c r="L63" s="128"/>
    </row>
    <row r="64" spans="1:12" ht="30" customHeight="1" x14ac:dyDescent="0.4">
      <c r="F64" s="128"/>
      <c r="G64" s="128"/>
      <c r="H64" s="128"/>
      <c r="I64" s="128"/>
      <c r="J64" s="128"/>
      <c r="K64" s="128"/>
      <c r="L64" s="128"/>
    </row>
    <row r="65" spans="6:12" ht="30" customHeight="1" x14ac:dyDescent="0.4">
      <c r="F65" s="128"/>
      <c r="G65" s="128"/>
      <c r="H65" s="128"/>
      <c r="I65" s="128"/>
      <c r="J65" s="128"/>
      <c r="K65" s="128"/>
      <c r="L65" s="128"/>
    </row>
    <row r="66" spans="6:12" ht="30" customHeight="1" x14ac:dyDescent="0.4">
      <c r="F66" s="128"/>
      <c r="G66" s="128"/>
      <c r="H66" s="128"/>
      <c r="I66" s="128"/>
      <c r="J66" s="128"/>
      <c r="K66" s="128"/>
      <c r="L66" s="128"/>
    </row>
    <row r="67" spans="6:12" ht="30" customHeight="1" x14ac:dyDescent="0.4">
      <c r="F67" s="128"/>
      <c r="G67" s="128"/>
      <c r="H67" s="128"/>
      <c r="I67" s="128"/>
      <c r="J67" s="128"/>
      <c r="K67" s="128"/>
      <c r="L67" s="128"/>
    </row>
    <row r="68" spans="6:12" ht="30" customHeight="1" x14ac:dyDescent="0.4">
      <c r="F68" s="128"/>
      <c r="G68" s="128"/>
      <c r="H68" s="128"/>
      <c r="I68" s="128"/>
      <c r="J68" s="128"/>
      <c r="K68" s="128"/>
      <c r="L68" s="128"/>
    </row>
    <row r="69" spans="6:12" ht="30" customHeight="1" x14ac:dyDescent="0.4">
      <c r="F69" s="128"/>
      <c r="G69" s="128"/>
      <c r="H69" s="128"/>
      <c r="I69" s="128"/>
      <c r="J69" s="128"/>
      <c r="K69" s="128"/>
      <c r="L69" s="128"/>
    </row>
    <row r="70" spans="6:12" ht="30" customHeight="1" x14ac:dyDescent="0.4">
      <c r="F70" s="128"/>
      <c r="G70" s="128"/>
      <c r="H70" s="128"/>
      <c r="I70" s="128"/>
      <c r="J70" s="128"/>
      <c r="K70" s="128"/>
      <c r="L70" s="128"/>
    </row>
    <row r="71" spans="6:12" ht="30" customHeight="1" x14ac:dyDescent="0.4">
      <c r="F71" s="128"/>
      <c r="G71" s="128"/>
      <c r="H71" s="128"/>
      <c r="I71" s="128"/>
      <c r="J71" s="128"/>
      <c r="K71" s="128"/>
      <c r="L71" s="128"/>
    </row>
    <row r="72" spans="6:12" ht="30" customHeight="1" x14ac:dyDescent="0.4">
      <c r="F72" s="128"/>
      <c r="G72" s="128"/>
      <c r="H72" s="128"/>
      <c r="I72" s="128"/>
      <c r="J72" s="128"/>
      <c r="K72" s="128"/>
      <c r="L72" s="128"/>
    </row>
    <row r="73" spans="6:12" ht="30" customHeight="1" x14ac:dyDescent="0.4">
      <c r="F73" s="128"/>
      <c r="G73" s="128"/>
      <c r="H73" s="128"/>
      <c r="I73" s="128"/>
      <c r="J73" s="128"/>
      <c r="K73" s="128"/>
      <c r="L73" s="128"/>
    </row>
    <row r="74" spans="6:12" ht="30" customHeight="1" x14ac:dyDescent="0.4">
      <c r="F74" s="128"/>
      <c r="G74" s="128"/>
      <c r="H74" s="128"/>
      <c r="I74" s="128"/>
      <c r="J74" s="128"/>
      <c r="K74" s="128"/>
      <c r="L74" s="128"/>
    </row>
    <row r="75" spans="6:12" ht="30" customHeight="1" x14ac:dyDescent="0.4">
      <c r="F75" s="128"/>
      <c r="G75" s="128"/>
      <c r="H75" s="128"/>
      <c r="I75" s="128"/>
      <c r="J75" s="128"/>
      <c r="K75" s="128"/>
      <c r="L75" s="128"/>
    </row>
    <row r="76" spans="6:12" ht="30" customHeight="1" x14ac:dyDescent="0.4">
      <c r="F76" s="128"/>
      <c r="G76" s="128"/>
      <c r="H76" s="128"/>
      <c r="I76" s="128"/>
      <c r="J76" s="128"/>
      <c r="K76" s="128"/>
      <c r="L76" s="128"/>
    </row>
    <row r="77" spans="6:12" ht="30" customHeight="1" x14ac:dyDescent="0.4">
      <c r="F77" s="128"/>
      <c r="G77" s="128"/>
      <c r="H77" s="128"/>
      <c r="I77" s="128"/>
      <c r="J77" s="128"/>
      <c r="K77" s="128"/>
      <c r="L77" s="128"/>
    </row>
    <row r="78" spans="6:12" ht="30" customHeight="1" x14ac:dyDescent="0.4">
      <c r="F78" s="128"/>
      <c r="G78" s="128"/>
      <c r="H78" s="128"/>
      <c r="I78" s="128"/>
      <c r="J78" s="128"/>
      <c r="K78" s="128"/>
      <c r="L78" s="128"/>
    </row>
    <row r="79" spans="6:12" ht="30" customHeight="1" x14ac:dyDescent="0.4">
      <c r="F79" s="128"/>
      <c r="G79" s="128"/>
      <c r="H79" s="128"/>
      <c r="I79" s="128"/>
      <c r="J79" s="128"/>
      <c r="K79" s="128"/>
      <c r="L79" s="128"/>
    </row>
    <row r="80" spans="6:12" ht="30" customHeight="1" x14ac:dyDescent="0.4">
      <c r="F80" s="128"/>
      <c r="G80" s="128"/>
      <c r="H80" s="128"/>
      <c r="I80" s="128"/>
      <c r="J80" s="128"/>
      <c r="K80" s="128"/>
      <c r="L80" s="128"/>
    </row>
    <row r="81" spans="6:12" ht="30" customHeight="1" x14ac:dyDescent="0.4">
      <c r="F81" s="128"/>
      <c r="G81" s="128"/>
      <c r="H81" s="128"/>
      <c r="I81" s="128"/>
      <c r="J81" s="128"/>
      <c r="K81" s="128"/>
      <c r="L81" s="128"/>
    </row>
    <row r="82" spans="6:12" ht="30" customHeight="1" x14ac:dyDescent="0.4">
      <c r="F82" s="128"/>
      <c r="G82" s="128"/>
      <c r="H82" s="128"/>
      <c r="I82" s="128"/>
      <c r="J82" s="128"/>
      <c r="K82" s="128"/>
      <c r="L82" s="128"/>
    </row>
    <row r="83" spans="6:12" ht="30" customHeight="1" x14ac:dyDescent="0.4">
      <c r="F83" s="128"/>
      <c r="G83" s="128"/>
      <c r="H83" s="128"/>
      <c r="I83" s="128"/>
      <c r="J83" s="128"/>
      <c r="K83" s="128"/>
      <c r="L83" s="128"/>
    </row>
    <row r="84" spans="6:12" ht="30" customHeight="1" x14ac:dyDescent="0.4">
      <c r="F84" s="128"/>
      <c r="G84" s="128"/>
      <c r="H84" s="128"/>
      <c r="I84" s="128"/>
      <c r="J84" s="128"/>
      <c r="K84" s="128"/>
      <c r="L84" s="128"/>
    </row>
    <row r="85" spans="6:12" ht="30" customHeight="1" x14ac:dyDescent="0.4">
      <c r="F85" s="128"/>
      <c r="G85" s="128"/>
      <c r="H85" s="128"/>
      <c r="I85" s="128"/>
      <c r="J85" s="128"/>
      <c r="K85" s="128"/>
      <c r="L85" s="128"/>
    </row>
    <row r="86" spans="6:12" ht="30" customHeight="1" x14ac:dyDescent="0.4">
      <c r="F86" s="128"/>
      <c r="G86" s="128"/>
      <c r="H86" s="128"/>
      <c r="I86" s="128"/>
      <c r="J86" s="128"/>
      <c r="K86" s="128"/>
      <c r="L86" s="128"/>
    </row>
    <row r="87" spans="6:12" ht="30" customHeight="1" x14ac:dyDescent="0.4">
      <c r="F87" s="128"/>
      <c r="G87" s="128"/>
      <c r="H87" s="128"/>
      <c r="I87" s="128"/>
      <c r="J87" s="128"/>
      <c r="K87" s="128"/>
      <c r="L87" s="128"/>
    </row>
    <row r="88" spans="6:12" ht="30" customHeight="1" x14ac:dyDescent="0.4">
      <c r="F88" s="128"/>
      <c r="G88" s="128"/>
      <c r="H88" s="128"/>
      <c r="I88" s="128"/>
      <c r="J88" s="128"/>
      <c r="K88" s="128"/>
      <c r="L88" s="128"/>
    </row>
    <row r="89" spans="6:12" ht="30" customHeight="1" x14ac:dyDescent="0.4">
      <c r="F89" s="128"/>
      <c r="G89" s="128"/>
      <c r="H89" s="128"/>
      <c r="I89" s="128"/>
      <c r="J89" s="128"/>
      <c r="K89" s="128"/>
      <c r="L89" s="128"/>
    </row>
    <row r="90" spans="6:12" ht="30" customHeight="1" x14ac:dyDescent="0.4">
      <c r="F90" s="128"/>
      <c r="G90" s="128"/>
      <c r="H90" s="128"/>
      <c r="I90" s="128"/>
      <c r="J90" s="128"/>
      <c r="K90" s="128"/>
      <c r="L90" s="128"/>
    </row>
    <row r="91" spans="6:12" ht="30" customHeight="1" x14ac:dyDescent="0.4">
      <c r="F91" s="128"/>
      <c r="G91" s="128"/>
      <c r="H91" s="128"/>
      <c r="I91" s="128"/>
      <c r="J91" s="128"/>
      <c r="K91" s="128"/>
      <c r="L91" s="128"/>
    </row>
    <row r="92" spans="6:12" ht="30" customHeight="1" x14ac:dyDescent="0.4">
      <c r="F92" s="128"/>
      <c r="G92" s="128"/>
      <c r="H92" s="128"/>
      <c r="I92" s="128"/>
      <c r="J92" s="128"/>
      <c r="K92" s="128"/>
      <c r="L92" s="128"/>
    </row>
    <row r="93" spans="6:12" ht="30" customHeight="1" x14ac:dyDescent="0.4">
      <c r="F93" s="128"/>
      <c r="G93" s="128"/>
      <c r="H93" s="128"/>
      <c r="I93" s="128"/>
      <c r="J93" s="128"/>
      <c r="K93" s="128"/>
      <c r="L93" s="128"/>
    </row>
    <row r="94" spans="6:12" ht="30" customHeight="1" x14ac:dyDescent="0.4">
      <c r="F94" s="128"/>
      <c r="G94" s="128"/>
      <c r="H94" s="128"/>
      <c r="I94" s="128"/>
      <c r="J94" s="128"/>
      <c r="K94" s="128"/>
      <c r="L94" s="128"/>
    </row>
    <row r="95" spans="6:12" ht="30" customHeight="1" x14ac:dyDescent="0.4">
      <c r="F95" s="128"/>
      <c r="G95" s="128"/>
      <c r="H95" s="128"/>
      <c r="I95" s="128"/>
      <c r="J95" s="128"/>
      <c r="K95" s="128"/>
      <c r="L95" s="128"/>
    </row>
    <row r="96" spans="6:12" ht="30" customHeight="1" x14ac:dyDescent="0.4">
      <c r="F96" s="128"/>
      <c r="G96" s="128"/>
      <c r="H96" s="128"/>
      <c r="I96" s="128"/>
      <c r="J96" s="128"/>
      <c r="K96" s="128"/>
      <c r="L96" s="128"/>
    </row>
    <row r="97" spans="6:12" ht="30" customHeight="1" x14ac:dyDescent="0.4">
      <c r="F97" s="128"/>
      <c r="G97" s="128"/>
      <c r="H97" s="128"/>
      <c r="I97" s="128"/>
      <c r="J97" s="128"/>
      <c r="K97" s="128"/>
      <c r="L97" s="128"/>
    </row>
    <row r="98" spans="6:12" ht="30" customHeight="1" x14ac:dyDescent="0.4">
      <c r="F98" s="128"/>
      <c r="G98" s="128"/>
      <c r="H98" s="128"/>
      <c r="I98" s="128"/>
      <c r="J98" s="128"/>
      <c r="K98" s="128"/>
      <c r="L98" s="128"/>
    </row>
    <row r="99" spans="6:12" ht="30" customHeight="1" x14ac:dyDescent="0.4">
      <c r="F99" s="128"/>
      <c r="G99" s="128"/>
      <c r="H99" s="128"/>
      <c r="I99" s="128"/>
      <c r="J99" s="128"/>
      <c r="K99" s="128"/>
      <c r="L99" s="128"/>
    </row>
    <row r="100" spans="6:12" ht="30" customHeight="1" x14ac:dyDescent="0.4">
      <c r="F100" s="128"/>
      <c r="G100" s="128"/>
      <c r="H100" s="128"/>
      <c r="I100" s="128"/>
      <c r="J100" s="128"/>
      <c r="K100" s="128"/>
      <c r="L100" s="128"/>
    </row>
    <row r="101" spans="6:12" ht="30" customHeight="1" x14ac:dyDescent="0.4">
      <c r="F101" s="128"/>
      <c r="G101" s="128"/>
      <c r="H101" s="128"/>
      <c r="I101" s="128"/>
      <c r="J101" s="128"/>
      <c r="K101" s="128"/>
      <c r="L101" s="128"/>
    </row>
    <row r="102" spans="6:12" ht="30" customHeight="1" x14ac:dyDescent="0.4">
      <c r="F102" s="128"/>
      <c r="G102" s="128"/>
      <c r="H102" s="128"/>
      <c r="I102" s="128"/>
      <c r="J102" s="128"/>
      <c r="K102" s="128"/>
      <c r="L102" s="128"/>
    </row>
    <row r="103" spans="6:12" ht="30" customHeight="1" x14ac:dyDescent="0.4">
      <c r="F103" s="128"/>
      <c r="G103" s="128"/>
      <c r="H103" s="128"/>
      <c r="I103" s="128"/>
      <c r="J103" s="128"/>
      <c r="K103" s="128"/>
      <c r="L103" s="128"/>
    </row>
    <row r="104" spans="6:12" ht="30" customHeight="1" x14ac:dyDescent="0.4">
      <c r="F104" s="128"/>
      <c r="G104" s="128"/>
      <c r="H104" s="128"/>
      <c r="I104" s="128"/>
      <c r="J104" s="128"/>
      <c r="K104" s="128"/>
      <c r="L104" s="128"/>
    </row>
    <row r="105" spans="6:12" ht="30" customHeight="1" x14ac:dyDescent="0.4">
      <c r="F105" s="128"/>
      <c r="G105" s="128"/>
      <c r="H105" s="128"/>
      <c r="I105" s="128"/>
      <c r="J105" s="128"/>
      <c r="K105" s="128"/>
      <c r="L105" s="128"/>
    </row>
    <row r="106" spans="6:12" ht="30" customHeight="1" x14ac:dyDescent="0.4">
      <c r="F106" s="128"/>
      <c r="G106" s="128"/>
      <c r="H106" s="128"/>
      <c r="I106" s="128"/>
      <c r="J106" s="128"/>
      <c r="K106" s="128"/>
      <c r="L106" s="128"/>
    </row>
    <row r="107" spans="6:12" ht="30" customHeight="1" x14ac:dyDescent="0.4">
      <c r="F107" s="128"/>
      <c r="G107" s="128"/>
      <c r="H107" s="128"/>
      <c r="I107" s="128"/>
      <c r="J107" s="128"/>
      <c r="K107" s="128"/>
      <c r="L107" s="128"/>
    </row>
    <row r="108" spans="6:12" ht="30" customHeight="1" x14ac:dyDescent="0.4">
      <c r="F108" s="128"/>
      <c r="G108" s="128"/>
      <c r="H108" s="128"/>
      <c r="I108" s="128"/>
      <c r="J108" s="128"/>
      <c r="K108" s="128"/>
      <c r="L108" s="128"/>
    </row>
    <row r="109" spans="6:12" ht="30" customHeight="1" x14ac:dyDescent="0.4">
      <c r="F109" s="128"/>
      <c r="G109" s="128"/>
      <c r="H109" s="128"/>
      <c r="I109" s="128"/>
      <c r="J109" s="128"/>
      <c r="K109" s="128"/>
      <c r="L109" s="128"/>
    </row>
    <row r="110" spans="6:12" ht="30" customHeight="1" x14ac:dyDescent="0.4">
      <c r="F110" s="128"/>
      <c r="G110" s="128"/>
      <c r="H110" s="128"/>
      <c r="I110" s="128"/>
      <c r="J110" s="128"/>
      <c r="K110" s="128"/>
      <c r="L110" s="128"/>
    </row>
    <row r="111" spans="6:12" ht="30" customHeight="1" x14ac:dyDescent="0.4">
      <c r="F111" s="128"/>
      <c r="G111" s="128"/>
      <c r="H111" s="128"/>
      <c r="I111" s="128"/>
      <c r="J111" s="128"/>
      <c r="K111" s="128"/>
      <c r="L111" s="128"/>
    </row>
    <row r="112" spans="6:12" ht="30" customHeight="1" x14ac:dyDescent="0.4">
      <c r="F112" s="128"/>
      <c r="G112" s="128"/>
      <c r="H112" s="128"/>
      <c r="I112" s="128"/>
      <c r="J112" s="128"/>
      <c r="K112" s="128"/>
      <c r="L112" s="128"/>
    </row>
    <row r="113" spans="6:12" ht="30" customHeight="1" x14ac:dyDescent="0.4">
      <c r="F113" s="128"/>
      <c r="G113" s="128"/>
      <c r="H113" s="128"/>
      <c r="I113" s="128"/>
      <c r="J113" s="128"/>
      <c r="K113" s="128"/>
      <c r="L113" s="128"/>
    </row>
    <row r="114" spans="6:12" ht="30" customHeight="1" x14ac:dyDescent="0.4">
      <c r="F114" s="128"/>
      <c r="G114" s="128"/>
      <c r="H114" s="128"/>
      <c r="I114" s="128"/>
      <c r="J114" s="128"/>
      <c r="K114" s="128"/>
      <c r="L114" s="128"/>
    </row>
    <row r="115" spans="6:12" ht="30" customHeight="1" x14ac:dyDescent="0.4">
      <c r="F115" s="128"/>
      <c r="G115" s="128"/>
      <c r="H115" s="128"/>
      <c r="I115" s="128"/>
      <c r="J115" s="128"/>
      <c r="K115" s="128"/>
      <c r="L115" s="128"/>
    </row>
    <row r="116" spans="6:12" ht="30" customHeight="1" x14ac:dyDescent="0.4">
      <c r="F116" s="128"/>
      <c r="G116" s="128"/>
      <c r="H116" s="128"/>
      <c r="I116" s="128"/>
      <c r="J116" s="128"/>
      <c r="K116" s="128"/>
      <c r="L116" s="128"/>
    </row>
    <row r="117" spans="6:12" ht="30" customHeight="1" x14ac:dyDescent="0.4">
      <c r="F117" s="128"/>
      <c r="G117" s="128"/>
      <c r="H117" s="128"/>
      <c r="I117" s="128"/>
      <c r="J117" s="128"/>
      <c r="K117" s="128"/>
      <c r="L117" s="128"/>
    </row>
    <row r="118" spans="6:12" ht="30" customHeight="1" x14ac:dyDescent="0.4">
      <c r="F118" s="128"/>
      <c r="G118" s="128"/>
      <c r="H118" s="128"/>
      <c r="I118" s="128"/>
      <c r="J118" s="128"/>
      <c r="K118" s="128"/>
      <c r="L118" s="128"/>
    </row>
    <row r="119" spans="6:12" ht="30" customHeight="1" x14ac:dyDescent="0.4">
      <c r="F119" s="128"/>
      <c r="G119" s="128"/>
      <c r="H119" s="128"/>
      <c r="I119" s="128"/>
      <c r="J119" s="128"/>
      <c r="K119" s="128"/>
      <c r="L119" s="128"/>
    </row>
    <row r="120" spans="6:12" ht="30" customHeight="1" x14ac:dyDescent="0.4">
      <c r="F120" s="128"/>
      <c r="G120" s="128"/>
      <c r="H120" s="128"/>
      <c r="I120" s="128"/>
      <c r="J120" s="128"/>
      <c r="K120" s="128"/>
      <c r="L120" s="128"/>
    </row>
    <row r="121" spans="6:12" ht="30" customHeight="1" x14ac:dyDescent="0.4">
      <c r="F121" s="128"/>
      <c r="G121" s="128"/>
      <c r="H121" s="128"/>
      <c r="I121" s="128"/>
      <c r="J121" s="128"/>
      <c r="K121" s="128"/>
      <c r="L121" s="128"/>
    </row>
    <row r="122" spans="6:12" ht="30" customHeight="1" x14ac:dyDescent="0.4">
      <c r="F122" s="128"/>
      <c r="G122" s="128"/>
      <c r="H122" s="128"/>
      <c r="I122" s="128"/>
      <c r="J122" s="128"/>
      <c r="K122" s="128"/>
      <c r="L122" s="128"/>
    </row>
    <row r="123" spans="6:12" ht="30" customHeight="1" x14ac:dyDescent="0.4">
      <c r="F123" s="128"/>
      <c r="G123" s="128"/>
      <c r="H123" s="128"/>
      <c r="I123" s="128"/>
      <c r="J123" s="128"/>
      <c r="K123" s="128"/>
      <c r="L123" s="128"/>
    </row>
    <row r="124" spans="6:12" ht="30" customHeight="1" x14ac:dyDescent="0.4">
      <c r="F124" s="128"/>
      <c r="G124" s="128"/>
      <c r="H124" s="128"/>
      <c r="I124" s="128"/>
      <c r="J124" s="128"/>
      <c r="K124" s="128"/>
      <c r="L124" s="128"/>
    </row>
    <row r="125" spans="6:12" ht="30" customHeight="1" x14ac:dyDescent="0.4">
      <c r="F125" s="128"/>
      <c r="G125" s="128"/>
      <c r="H125" s="128"/>
      <c r="I125" s="128"/>
      <c r="J125" s="128"/>
      <c r="K125" s="128"/>
      <c r="L125" s="128"/>
    </row>
    <row r="126" spans="6:12" ht="30" customHeight="1" x14ac:dyDescent="0.4">
      <c r="F126" s="128"/>
      <c r="G126" s="128"/>
      <c r="H126" s="128"/>
      <c r="I126" s="128"/>
      <c r="J126" s="128"/>
      <c r="K126" s="128"/>
      <c r="L126" s="128"/>
    </row>
    <row r="127" spans="6:12" ht="30" customHeight="1" x14ac:dyDescent="0.4">
      <c r="F127" s="128"/>
      <c r="G127" s="128"/>
      <c r="H127" s="128"/>
      <c r="I127" s="128"/>
      <c r="J127" s="128"/>
      <c r="K127" s="128"/>
      <c r="L127" s="128"/>
    </row>
    <row r="128" spans="6:12" ht="30" customHeight="1" x14ac:dyDescent="0.4">
      <c r="F128" s="128"/>
      <c r="G128" s="128"/>
      <c r="H128" s="128"/>
      <c r="I128" s="128"/>
      <c r="J128" s="128"/>
      <c r="K128" s="128"/>
      <c r="L128" s="128"/>
    </row>
    <row r="129" spans="6:12" ht="30" customHeight="1" x14ac:dyDescent="0.4">
      <c r="F129" s="128"/>
      <c r="G129" s="128"/>
      <c r="H129" s="128"/>
      <c r="I129" s="128"/>
      <c r="J129" s="128"/>
      <c r="K129" s="128"/>
      <c r="L129" s="128"/>
    </row>
    <row r="130" spans="6:12" ht="30" customHeight="1" x14ac:dyDescent="0.4">
      <c r="F130" s="128"/>
      <c r="G130" s="128"/>
      <c r="H130" s="128"/>
      <c r="I130" s="128"/>
      <c r="J130" s="128"/>
      <c r="K130" s="128"/>
      <c r="L130" s="128"/>
    </row>
    <row r="131" spans="6:12" ht="30" customHeight="1" x14ac:dyDescent="0.4">
      <c r="F131" s="128"/>
      <c r="G131" s="128"/>
      <c r="H131" s="128"/>
      <c r="I131" s="128"/>
      <c r="J131" s="128"/>
      <c r="K131" s="128"/>
      <c r="L131" s="128"/>
    </row>
    <row r="132" spans="6:12" ht="30" customHeight="1" x14ac:dyDescent="0.4">
      <c r="F132" s="128"/>
      <c r="G132" s="128"/>
      <c r="H132" s="128"/>
      <c r="I132" s="128"/>
      <c r="J132" s="128"/>
      <c r="K132" s="128"/>
      <c r="L132" s="128"/>
    </row>
    <row r="133" spans="6:12" ht="30" customHeight="1" x14ac:dyDescent="0.4">
      <c r="F133" s="128"/>
      <c r="G133" s="128"/>
      <c r="H133" s="128"/>
      <c r="I133" s="128"/>
      <c r="J133" s="128"/>
      <c r="K133" s="128"/>
      <c r="L133" s="128"/>
    </row>
    <row r="134" spans="6:12" ht="30" customHeight="1" x14ac:dyDescent="0.4">
      <c r="F134" s="128"/>
      <c r="G134" s="128"/>
      <c r="H134" s="128"/>
      <c r="I134" s="128"/>
      <c r="J134" s="128"/>
      <c r="K134" s="128"/>
      <c r="L134" s="128"/>
    </row>
    <row r="135" spans="6:12" ht="30" customHeight="1" x14ac:dyDescent="0.4">
      <c r="F135" s="128"/>
      <c r="G135" s="128"/>
      <c r="H135" s="128"/>
      <c r="I135" s="128"/>
      <c r="J135" s="128"/>
      <c r="K135" s="128"/>
      <c r="L135" s="128"/>
    </row>
    <row r="136" spans="6:12" ht="30" customHeight="1" x14ac:dyDescent="0.4">
      <c r="F136" s="128"/>
      <c r="G136" s="128"/>
      <c r="H136" s="128"/>
      <c r="I136" s="128"/>
      <c r="J136" s="128"/>
      <c r="K136" s="128"/>
      <c r="L136" s="128"/>
    </row>
    <row r="137" spans="6:12" ht="30" customHeight="1" x14ac:dyDescent="0.4">
      <c r="F137" s="128"/>
      <c r="G137" s="128"/>
      <c r="H137" s="128"/>
      <c r="I137" s="128"/>
      <c r="J137" s="128"/>
      <c r="K137" s="128"/>
      <c r="L137" s="128"/>
    </row>
    <row r="138" spans="6:12" ht="30" customHeight="1" x14ac:dyDescent="0.4">
      <c r="F138" s="128"/>
      <c r="G138" s="128"/>
      <c r="H138" s="128"/>
      <c r="I138" s="128"/>
      <c r="J138" s="128"/>
      <c r="K138" s="128"/>
      <c r="L138" s="128"/>
    </row>
    <row r="139" spans="6:12" ht="30" customHeight="1" x14ac:dyDescent="0.4">
      <c r="F139" s="128"/>
      <c r="G139" s="128"/>
      <c r="H139" s="128"/>
      <c r="I139" s="128"/>
      <c r="J139" s="128"/>
      <c r="K139" s="128"/>
      <c r="L139" s="128"/>
    </row>
    <row r="140" spans="6:12" ht="30" customHeight="1" x14ac:dyDescent="0.4">
      <c r="F140" s="128"/>
      <c r="G140" s="128"/>
      <c r="H140" s="128"/>
      <c r="I140" s="128"/>
      <c r="J140" s="128"/>
      <c r="K140" s="128"/>
      <c r="L140" s="128"/>
    </row>
    <row r="141" spans="6:12" ht="30" customHeight="1" x14ac:dyDescent="0.4">
      <c r="F141" s="128"/>
      <c r="G141" s="128"/>
      <c r="H141" s="128"/>
      <c r="I141" s="128"/>
      <c r="J141" s="128"/>
      <c r="K141" s="128"/>
      <c r="L141" s="128"/>
    </row>
    <row r="142" spans="6:12" ht="30" customHeight="1" x14ac:dyDescent="0.4">
      <c r="F142" s="128"/>
      <c r="G142" s="128"/>
      <c r="H142" s="128"/>
      <c r="I142" s="128"/>
      <c r="J142" s="128"/>
      <c r="K142" s="128"/>
      <c r="L142" s="128"/>
    </row>
    <row r="143" spans="6:12" ht="30" customHeight="1" x14ac:dyDescent="0.4">
      <c r="F143" s="128"/>
      <c r="G143" s="128"/>
      <c r="H143" s="128"/>
      <c r="I143" s="128"/>
      <c r="J143" s="128"/>
      <c r="K143" s="128"/>
      <c r="L143" s="128"/>
    </row>
    <row r="144" spans="6:12" ht="30" customHeight="1" x14ac:dyDescent="0.4">
      <c r="F144" s="128"/>
      <c r="G144" s="128"/>
      <c r="H144" s="128"/>
      <c r="I144" s="128"/>
      <c r="J144" s="128"/>
      <c r="K144" s="128"/>
      <c r="L144" s="128"/>
    </row>
    <row r="145" spans="6:12" ht="30" customHeight="1" x14ac:dyDescent="0.4">
      <c r="F145" s="128"/>
      <c r="G145" s="128"/>
      <c r="H145" s="128"/>
      <c r="I145" s="128"/>
      <c r="J145" s="128"/>
      <c r="K145" s="128"/>
      <c r="L145" s="128"/>
    </row>
    <row r="146" spans="6:12" ht="30" customHeight="1" x14ac:dyDescent="0.4">
      <c r="F146" s="128"/>
      <c r="G146" s="128"/>
      <c r="H146" s="128"/>
      <c r="I146" s="128"/>
      <c r="J146" s="128"/>
      <c r="K146" s="128"/>
      <c r="L146" s="128"/>
    </row>
    <row r="147" spans="6:12" ht="30" customHeight="1" x14ac:dyDescent="0.4">
      <c r="F147" s="128"/>
      <c r="G147" s="128"/>
      <c r="H147" s="128"/>
      <c r="I147" s="128"/>
      <c r="J147" s="128"/>
      <c r="K147" s="128"/>
      <c r="L147" s="128"/>
    </row>
    <row r="148" spans="6:12" ht="30" customHeight="1" x14ac:dyDescent="0.4">
      <c r="F148" s="128"/>
      <c r="G148" s="128"/>
      <c r="H148" s="128"/>
      <c r="I148" s="128"/>
      <c r="J148" s="128"/>
      <c r="K148" s="128"/>
      <c r="L148" s="128"/>
    </row>
    <row r="149" spans="6:12" ht="30" customHeight="1" x14ac:dyDescent="0.4">
      <c r="F149" s="128"/>
      <c r="G149" s="128"/>
      <c r="H149" s="128"/>
      <c r="I149" s="128"/>
      <c r="J149" s="128"/>
      <c r="K149" s="128"/>
      <c r="L149" s="128"/>
    </row>
    <row r="150" spans="6:12" ht="30" customHeight="1" x14ac:dyDescent="0.4">
      <c r="F150" s="128"/>
      <c r="G150" s="128"/>
      <c r="H150" s="128"/>
      <c r="I150" s="128"/>
      <c r="J150" s="128"/>
      <c r="K150" s="128"/>
      <c r="L150" s="128"/>
    </row>
    <row r="151" spans="6:12" ht="30" customHeight="1" x14ac:dyDescent="0.4">
      <c r="F151" s="128"/>
      <c r="G151" s="128"/>
      <c r="H151" s="128"/>
      <c r="I151" s="128"/>
      <c r="J151" s="128"/>
      <c r="K151" s="128"/>
      <c r="L151" s="128"/>
    </row>
    <row r="152" spans="6:12" ht="30" customHeight="1" x14ac:dyDescent="0.4">
      <c r="F152" s="128"/>
      <c r="G152" s="128"/>
      <c r="H152" s="128"/>
      <c r="I152" s="128"/>
      <c r="J152" s="128"/>
      <c r="K152" s="128"/>
      <c r="L152" s="128"/>
    </row>
    <row r="153" spans="6:12" ht="30" customHeight="1" x14ac:dyDescent="0.4">
      <c r="F153" s="128"/>
      <c r="G153" s="128"/>
      <c r="H153" s="128"/>
      <c r="I153" s="128"/>
      <c r="J153" s="128"/>
      <c r="K153" s="128"/>
      <c r="L153" s="128"/>
    </row>
    <row r="154" spans="6:12" ht="30" customHeight="1" x14ac:dyDescent="0.4">
      <c r="F154" s="128"/>
      <c r="G154" s="128"/>
      <c r="H154" s="128"/>
      <c r="I154" s="128"/>
      <c r="J154" s="128"/>
      <c r="K154" s="128"/>
      <c r="L154" s="128"/>
    </row>
    <row r="155" spans="6:12" ht="30" customHeight="1" x14ac:dyDescent="0.4">
      <c r="F155" s="128"/>
      <c r="G155" s="128"/>
      <c r="H155" s="128"/>
      <c r="I155" s="128"/>
      <c r="J155" s="128"/>
      <c r="K155" s="128"/>
      <c r="L155" s="128"/>
    </row>
    <row r="156" spans="6:12" ht="30" customHeight="1" x14ac:dyDescent="0.4">
      <c r="F156" s="128"/>
      <c r="G156" s="128"/>
      <c r="H156" s="128"/>
      <c r="I156" s="128"/>
      <c r="J156" s="128"/>
      <c r="K156" s="128"/>
      <c r="L156" s="128"/>
    </row>
    <row r="157" spans="6:12" ht="30" customHeight="1" x14ac:dyDescent="0.4">
      <c r="F157" s="128"/>
      <c r="G157" s="128"/>
      <c r="H157" s="128"/>
      <c r="I157" s="128"/>
      <c r="J157" s="128"/>
      <c r="K157" s="128"/>
      <c r="L157" s="128"/>
    </row>
  </sheetData>
  <mergeCells count="5">
    <mergeCell ref="A3:A4"/>
    <mergeCell ref="B3:B4"/>
    <mergeCell ref="C3:C4"/>
    <mergeCell ref="D3:D4"/>
    <mergeCell ref="E3:E4"/>
  </mergeCells>
  <conditionalFormatting sqref="F4:L4">
    <cfRule type="expression" dxfId="1058" priority="17">
      <formula>F$4=period_selected</formula>
    </cfRule>
  </conditionalFormatting>
  <conditionalFormatting sqref="F6:L48">
    <cfRule type="expression" dxfId="1057" priority="14">
      <formula>ActualBeyond</formula>
    </cfRule>
    <cfRule type="expression" dxfId="1056" priority="15">
      <formula>Plan</formula>
    </cfRule>
    <cfRule type="expression" dxfId="1055" priority="16">
      <formula>F$4=period_selected</formula>
    </cfRule>
    <cfRule type="expression" dxfId="1054" priority="18">
      <formula>MOD(COLUMN(),2)</formula>
    </cfRule>
    <cfRule type="expression" dxfId="1053" priority="19">
      <formula>MOD(COLUMN(),2)=0</formula>
    </cfRule>
  </conditionalFormatting>
  <conditionalFormatting sqref="F7:L48">
    <cfRule type="expression" dxfId="1052" priority="3">
      <formula>AND($B7&lt;&gt;"",$C7&lt;&gt;"",$D7&gt;0,$B7&lt;=EOMONTH(F$4,0),($B7+(($C7-$B7)*$D7))&gt;=F$4)</formula>
    </cfRule>
    <cfRule type="expression" dxfId="1051" priority="9">
      <formula>AND($B7&lt;&gt;"",$C7&lt;&gt;"",$B7&lt;=EOMONTH(F$4,0),$C7&gt;=F$4)</formula>
    </cfRule>
  </conditionalFormatting>
  <dataValidations disablePrompts="1" count="9">
    <dataValidation allowBlank="1" showInputMessage="1" showErrorMessage="1" prompt="Title of the project. Enter a new title in this cell. Highlight a period in H2. Chart legend is in J2 to AI2" sqref="A1" xr:uid="{D5F10E37-BEB3-4C95-9546-E88A94166188}"/>
    <dataValidation allowBlank="1" showInputMessage="1" showErrorMessage="1" prompt="Enter the percentage of project completed in column G, starting with cell G5" sqref="D3:D5" xr:uid="{AD7C5715-D267-437D-9FE2-17EB162555A5}"/>
    <dataValidation allowBlank="1" showInputMessage="1" showErrorMessage="1" prompt="Enter plan start period in column C, starting with cell C5" sqref="B3:B5" xr:uid="{8C525286-AA85-4A08-9D45-E96FD7ED488E}"/>
    <dataValidation allowBlank="1" showInputMessage="1" showErrorMessage="1" prompt="Enter activity in column B, starting with cell B5_x000a_" sqref="A3:A5" xr:uid="{6D190641-5C04-4E88-96E5-6E1EED3652CE}"/>
    <dataValidation allowBlank="1" showInputMessage="1" showErrorMessage="1" prompt="Periods are charted from 1 to 60 starting from cell H4 to cell BO4 " sqref="F3" xr:uid="{B85617E5-8114-40A7-AD56-69F6B419284B}"/>
    <dataValidation allowBlank="1" showInputMessage="1" showErrorMessage="1" prompt="This legend cell indicates plan duration" sqref="H2" xr:uid="{294EE939-E243-49B0-8B05-BF4665D81620}"/>
    <dataValidation allowBlank="1" showInputMessage="1" showErrorMessage="1" prompt="Enter actual duration period in column F, starting with cell F5" sqref="C3:D5" xr:uid="{E76AB995-F55B-4195-8F9E-28D840C3F42F}"/>
    <dataValidation allowBlank="1" showInputMessage="1" showErrorMessage="1" prompt="Select a period to highlight in H2. A Chart legend is in J2 to AI2" sqref="A2:D2" xr:uid="{9F6BE0A2-A1D1-4A91-8AC2-D225E558F98A}"/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F2" xr:uid="{8D459C70-1873-4545-B963-06D4A49AD753}">
      <formula1>$F$4:$L$4</formula1>
    </dataValidation>
  </dataValidations>
  <printOptions horizontalCentered="1"/>
  <pageMargins left="0.33" right="0.6" top="0.5" bottom="0.5" header="0.3" footer="0.3"/>
  <pageSetup paperSize="8" orientation="landscape" r:id="rId1"/>
  <headerFooter differentFirst="1">
    <oddFooter>&amp;L_x000D_&amp;1#&amp;"Aptos"&amp;8&amp;K000000 Sensitivity: LNT Construction Internal Use</oddFooter>
    <firstFooter>&amp;L_x000D_&amp;1#&amp;"Aptos"&amp;8&amp;K000000 Sensitivity: LNT Construction Internal Use</firstFooter>
  </headerFooter>
  <rowBreaks count="1" manualBreakCount="1">
    <brk id="22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64397-1D08-496A-8321-89D34C387F48}">
  <sheetPr>
    <tabColor rgb="FFD0D55E"/>
    <pageSetUpPr fitToPage="1"/>
  </sheetPr>
  <dimension ref="A1:S51"/>
  <sheetViews>
    <sheetView showGridLines="0" view="pageBreakPreview" zoomScale="80" zoomScaleNormal="82" zoomScaleSheetLayoutView="80" workbookViewId="0">
      <pane xSplit="5" ySplit="4" topLeftCell="F33" activePane="bottomRight" state="frozen"/>
      <selection pane="topRight" activeCell="F1" sqref="F1"/>
      <selection pane="bottomLeft" activeCell="A5" sqref="A5"/>
      <selection pane="bottomRight" activeCell="A39" sqref="A39"/>
    </sheetView>
  </sheetViews>
  <sheetFormatPr defaultColWidth="2.75" defaultRowHeight="30" customHeight="1" x14ac:dyDescent="0.4"/>
  <cols>
    <col min="1" max="1" width="27.33203125" style="2" customWidth="1"/>
    <col min="2" max="2" width="15.33203125" style="1" customWidth="1"/>
    <col min="3" max="3" width="13.33203125" customWidth="1"/>
    <col min="4" max="4" width="15.58203125" style="3" customWidth="1"/>
    <col min="5" max="5" width="33.08203125" style="3" customWidth="1"/>
    <col min="6" max="13" width="9.5" style="1" bestFit="1" customWidth="1"/>
  </cols>
  <sheetData>
    <row r="1" spans="1:19" ht="30.75" customHeight="1" x14ac:dyDescent="1.2">
      <c r="A1" s="168" t="s">
        <v>282</v>
      </c>
      <c r="B1" s="169"/>
      <c r="C1" s="170"/>
      <c r="D1" s="169"/>
      <c r="E1" s="169"/>
      <c r="F1" s="44"/>
      <c r="G1" s="44"/>
      <c r="H1" s="44"/>
      <c r="I1" s="44"/>
      <c r="J1" s="45"/>
      <c r="K1" s="45"/>
      <c r="L1" s="45"/>
      <c r="M1" s="46"/>
      <c r="N1" s="21"/>
      <c r="O1" s="14"/>
      <c r="P1" s="14"/>
      <c r="Q1" s="14"/>
      <c r="R1" s="14"/>
      <c r="S1" s="14"/>
    </row>
    <row r="2" spans="1:19" ht="16" x14ac:dyDescent="0.35">
      <c r="A2" s="171"/>
      <c r="B2" s="172"/>
      <c r="C2" s="172"/>
      <c r="D2" s="173"/>
      <c r="E2" s="174"/>
      <c r="F2" s="21"/>
      <c r="G2" s="178"/>
      <c r="H2" s="21" t="s">
        <v>32</v>
      </c>
      <c r="I2" s="21"/>
      <c r="J2" s="179"/>
      <c r="K2" s="21" t="s">
        <v>5</v>
      </c>
      <c r="L2" s="21"/>
      <c r="M2" s="21"/>
      <c r="N2" s="21"/>
      <c r="O2" s="14"/>
      <c r="P2" s="14"/>
      <c r="Q2" s="14"/>
      <c r="R2" s="14"/>
      <c r="S2" s="14"/>
    </row>
    <row r="3" spans="1:19" s="11" customFormat="1" ht="16" x14ac:dyDescent="0.4">
      <c r="A3" s="265" t="s">
        <v>1</v>
      </c>
      <c r="B3" s="266" t="s">
        <v>304</v>
      </c>
      <c r="C3" s="266" t="s">
        <v>305</v>
      </c>
      <c r="D3" s="266" t="s">
        <v>4</v>
      </c>
      <c r="E3" s="266" t="s">
        <v>306</v>
      </c>
      <c r="F3" s="20"/>
      <c r="G3" s="20"/>
      <c r="H3" s="20"/>
      <c r="I3" s="20"/>
      <c r="J3" s="20"/>
      <c r="K3" s="20"/>
      <c r="L3" s="20"/>
      <c r="M3" s="20"/>
    </row>
    <row r="4" spans="1:19" ht="38.15" customHeight="1" x14ac:dyDescent="0.35">
      <c r="A4" s="247"/>
      <c r="B4" s="248"/>
      <c r="C4" s="248"/>
      <c r="D4" s="248"/>
      <c r="E4" s="248"/>
      <c r="F4" s="22">
        <v>46174</v>
      </c>
      <c r="G4" s="22">
        <f t="shared" ref="G4:L4" si="0">EDATE(F4,1)</f>
        <v>46204</v>
      </c>
      <c r="H4" s="22">
        <f t="shared" si="0"/>
        <v>46235</v>
      </c>
      <c r="I4" s="22">
        <f t="shared" si="0"/>
        <v>46266</v>
      </c>
      <c r="J4" s="22">
        <f t="shared" si="0"/>
        <v>46296</v>
      </c>
      <c r="K4" s="22">
        <f t="shared" si="0"/>
        <v>46327</v>
      </c>
      <c r="L4" s="22">
        <f t="shared" si="0"/>
        <v>46357</v>
      </c>
      <c r="M4" s="23"/>
    </row>
    <row r="5" spans="1:19" ht="35.15" customHeight="1" x14ac:dyDescent="0.35">
      <c r="A5" s="158" t="s">
        <v>6</v>
      </c>
      <c r="B5" s="159"/>
      <c r="C5" s="160"/>
      <c r="D5" s="177">
        <v>1</v>
      </c>
      <c r="E5" s="161"/>
      <c r="F5" s="155"/>
      <c r="G5" s="156"/>
      <c r="H5" s="156"/>
      <c r="I5" s="175"/>
      <c r="J5" s="175"/>
      <c r="K5" s="175"/>
      <c r="L5" s="175"/>
      <c r="M5" s="176"/>
    </row>
    <row r="6" spans="1:19" ht="35.15" customHeight="1" x14ac:dyDescent="0.35">
      <c r="A6" s="162" t="s">
        <v>7</v>
      </c>
      <c r="B6" s="163"/>
      <c r="C6" s="163"/>
      <c r="D6" s="164"/>
      <c r="E6" s="164"/>
    </row>
    <row r="7" spans="1:19" ht="35.15" customHeight="1" x14ac:dyDescent="0.35">
      <c r="A7" s="131" t="s">
        <v>8</v>
      </c>
      <c r="B7" s="132">
        <v>46143</v>
      </c>
      <c r="C7" s="132">
        <v>46275</v>
      </c>
      <c r="D7" s="133">
        <v>1</v>
      </c>
      <c r="E7" s="133"/>
    </row>
    <row r="8" spans="1:19" ht="35.15" customHeight="1" x14ac:dyDescent="0.35">
      <c r="A8" s="131" t="s">
        <v>278</v>
      </c>
      <c r="B8" s="132">
        <v>46170</v>
      </c>
      <c r="C8" s="132">
        <v>46284</v>
      </c>
      <c r="D8" s="133">
        <v>1</v>
      </c>
      <c r="E8" s="133"/>
    </row>
    <row r="9" spans="1:19" ht="35.15" customHeight="1" x14ac:dyDescent="0.35">
      <c r="A9" s="131" t="s">
        <v>291</v>
      </c>
      <c r="B9" s="132">
        <v>46190</v>
      </c>
      <c r="C9" s="132">
        <v>46341</v>
      </c>
      <c r="D9" s="133">
        <v>0.28999999999999998</v>
      </c>
      <c r="E9" s="133"/>
    </row>
    <row r="10" spans="1:19" ht="35.15" customHeight="1" x14ac:dyDescent="0.35">
      <c r="A10" s="131" t="s">
        <v>75</v>
      </c>
      <c r="B10" s="132">
        <v>46242</v>
      </c>
      <c r="C10" s="132">
        <v>46336</v>
      </c>
      <c r="D10" s="133">
        <v>0.55000000000000004</v>
      </c>
      <c r="E10" s="133"/>
      <c r="M10"/>
    </row>
    <row r="11" spans="1:19" ht="35.15" customHeight="1" x14ac:dyDescent="0.35">
      <c r="A11" s="131" t="s">
        <v>11</v>
      </c>
      <c r="B11" s="132">
        <v>46285</v>
      </c>
      <c r="C11" s="132">
        <v>46315</v>
      </c>
      <c r="D11" s="133">
        <v>0</v>
      </c>
      <c r="E11" s="133"/>
      <c r="N11" s="1"/>
      <c r="O11" s="1"/>
      <c r="P11" s="1"/>
      <c r="Q11" s="1"/>
    </row>
    <row r="12" spans="1:19" ht="35.15" customHeight="1" x14ac:dyDescent="0.35">
      <c r="A12" s="131" t="s">
        <v>358</v>
      </c>
      <c r="B12" s="132">
        <v>46315</v>
      </c>
      <c r="C12" s="132">
        <v>46335</v>
      </c>
      <c r="D12" s="133">
        <v>0</v>
      </c>
      <c r="E12" s="133"/>
      <c r="N12" s="1"/>
      <c r="O12" s="1"/>
      <c r="P12" s="1"/>
      <c r="Q12" s="1"/>
    </row>
    <row r="13" spans="1:19" ht="35.15" customHeight="1" x14ac:dyDescent="0.35">
      <c r="A13" s="131" t="s">
        <v>13</v>
      </c>
      <c r="B13" s="132">
        <v>46296</v>
      </c>
      <c r="C13" s="132">
        <v>46346</v>
      </c>
      <c r="D13" s="133">
        <v>0</v>
      </c>
      <c r="E13" s="133"/>
      <c r="N13" s="1"/>
      <c r="O13" s="1"/>
      <c r="P13" s="1"/>
      <c r="Q13" s="1"/>
    </row>
    <row r="14" spans="1:19" ht="35.15" customHeight="1" x14ac:dyDescent="0.35">
      <c r="A14" s="131" t="s">
        <v>273</v>
      </c>
      <c r="B14" s="132">
        <v>46267</v>
      </c>
      <c r="C14" s="132">
        <v>46346</v>
      </c>
      <c r="D14" s="133">
        <v>0.25</v>
      </c>
      <c r="E14" s="133"/>
      <c r="N14" s="1"/>
      <c r="O14" s="1"/>
      <c r="P14" s="1"/>
      <c r="Q14" s="1"/>
    </row>
    <row r="15" spans="1:19" ht="35.15" customHeight="1" x14ac:dyDescent="0.35">
      <c r="A15" s="135" t="s">
        <v>295</v>
      </c>
      <c r="B15" s="136"/>
      <c r="C15" s="136"/>
      <c r="D15" s="137"/>
      <c r="E15" s="137"/>
      <c r="N15" s="1"/>
      <c r="O15" s="1"/>
      <c r="P15" s="1"/>
      <c r="Q15" s="1"/>
    </row>
    <row r="16" spans="1:19" ht="35.15" customHeight="1" x14ac:dyDescent="0.35">
      <c r="A16" s="131" t="s">
        <v>272</v>
      </c>
      <c r="B16" s="132">
        <v>46185</v>
      </c>
      <c r="C16" s="132">
        <v>46290</v>
      </c>
      <c r="D16" s="133">
        <v>0.95</v>
      </c>
      <c r="E16" s="133"/>
    </row>
    <row r="17" spans="1:5" ht="35.15" customHeight="1" x14ac:dyDescent="0.35">
      <c r="A17" s="131" t="s">
        <v>274</v>
      </c>
      <c r="B17" s="132">
        <v>46212</v>
      </c>
      <c r="C17" s="132">
        <v>46325</v>
      </c>
      <c r="D17" s="133">
        <v>0.55000000000000004</v>
      </c>
      <c r="E17" s="133"/>
    </row>
    <row r="18" spans="1:5" ht="35.15" customHeight="1" x14ac:dyDescent="0.35">
      <c r="A18" s="135" t="s">
        <v>14</v>
      </c>
      <c r="B18" s="136"/>
      <c r="C18" s="136"/>
      <c r="D18" s="137"/>
      <c r="E18" s="137"/>
    </row>
    <row r="19" spans="1:5" ht="35.15" customHeight="1" x14ac:dyDescent="0.35">
      <c r="A19" s="131" t="s">
        <v>311</v>
      </c>
      <c r="B19" s="132">
        <v>46262</v>
      </c>
      <c r="C19" s="132">
        <v>46301</v>
      </c>
      <c r="D19" s="133">
        <f>'UG MALE backup'!E48/'UG MALE backup'!D48</f>
        <v>0</v>
      </c>
      <c r="E19" s="133"/>
    </row>
    <row r="20" spans="1:5" ht="35.15" customHeight="1" x14ac:dyDescent="0.35">
      <c r="A20" s="131" t="s">
        <v>293</v>
      </c>
      <c r="B20" s="132">
        <v>46283</v>
      </c>
      <c r="C20" s="132">
        <v>46295</v>
      </c>
      <c r="D20" s="133">
        <v>0.2</v>
      </c>
      <c r="E20" s="133"/>
    </row>
    <row r="21" spans="1:5" ht="35.15" customHeight="1" x14ac:dyDescent="0.35">
      <c r="A21" s="135" t="s">
        <v>317</v>
      </c>
      <c r="B21" s="136"/>
      <c r="C21" s="136"/>
      <c r="D21" s="137"/>
      <c r="E21" s="137"/>
    </row>
    <row r="22" spans="1:5" ht="35.15" customHeight="1" x14ac:dyDescent="0.35">
      <c r="A22" s="135" t="s">
        <v>83</v>
      </c>
      <c r="B22" s="136"/>
      <c r="C22" s="136"/>
      <c r="D22" s="137"/>
      <c r="E22" s="137"/>
    </row>
    <row r="23" spans="1:5" ht="35.15" customHeight="1" x14ac:dyDescent="0.35">
      <c r="A23" s="131" t="s">
        <v>33</v>
      </c>
      <c r="B23" s="132">
        <v>46163</v>
      </c>
      <c r="C23" s="132">
        <v>46290</v>
      </c>
      <c r="D23" s="133">
        <v>0.96</v>
      </c>
      <c r="E23" s="133"/>
    </row>
    <row r="24" spans="1:5" ht="35.15" customHeight="1" x14ac:dyDescent="0.35">
      <c r="A24" s="131" t="s">
        <v>35</v>
      </c>
      <c r="B24" s="132">
        <v>46149</v>
      </c>
      <c r="C24" s="132">
        <v>46295</v>
      </c>
      <c r="D24" s="133">
        <v>0.88</v>
      </c>
      <c r="E24" s="133"/>
    </row>
    <row r="25" spans="1:5" ht="35.15" customHeight="1" x14ac:dyDescent="0.35">
      <c r="A25" s="131" t="s">
        <v>41</v>
      </c>
      <c r="B25" s="132">
        <v>46215</v>
      </c>
      <c r="C25" s="132">
        <v>46291</v>
      </c>
      <c r="D25" s="133">
        <v>0.9</v>
      </c>
      <c r="E25" s="133"/>
    </row>
    <row r="26" spans="1:5" s="1" customFormat="1" ht="35.15" customHeight="1" x14ac:dyDescent="0.35">
      <c r="A26" s="131" t="s">
        <v>42</v>
      </c>
      <c r="B26" s="132">
        <v>46224</v>
      </c>
      <c r="C26" s="132">
        <v>46295</v>
      </c>
      <c r="D26" s="133">
        <v>0.67</v>
      </c>
      <c r="E26" s="133"/>
    </row>
    <row r="27" spans="1:5" s="1" customFormat="1" ht="35.15" customHeight="1" x14ac:dyDescent="0.35">
      <c r="A27" s="135" t="s">
        <v>85</v>
      </c>
      <c r="B27" s="136"/>
      <c r="C27" s="136"/>
      <c r="D27" s="137"/>
      <c r="E27" s="137"/>
    </row>
    <row r="28" spans="1:5" s="1" customFormat="1" ht="35.15" customHeight="1" x14ac:dyDescent="0.35">
      <c r="A28" s="131" t="s">
        <v>33</v>
      </c>
      <c r="B28" s="132">
        <v>46296</v>
      </c>
      <c r="C28" s="132">
        <v>46343</v>
      </c>
      <c r="D28" s="133">
        <v>0</v>
      </c>
      <c r="E28" s="133"/>
    </row>
    <row r="29" spans="1:5" s="1" customFormat="1" ht="35.15" customHeight="1" x14ac:dyDescent="0.35">
      <c r="A29" s="131" t="s">
        <v>35</v>
      </c>
      <c r="B29" s="132">
        <v>46263</v>
      </c>
      <c r="C29" s="132">
        <v>46284</v>
      </c>
      <c r="D29" s="133">
        <v>1</v>
      </c>
      <c r="E29" s="133"/>
    </row>
    <row r="30" spans="1:5" s="1" customFormat="1" ht="35.15" customHeight="1" x14ac:dyDescent="0.35">
      <c r="A30" s="131" t="s">
        <v>38</v>
      </c>
      <c r="B30" s="132">
        <v>46325</v>
      </c>
      <c r="C30" s="132">
        <v>46341</v>
      </c>
      <c r="D30" s="133">
        <v>0</v>
      </c>
      <c r="E30" s="133"/>
    </row>
    <row r="31" spans="1:5" s="1" customFormat="1" ht="35.15" customHeight="1" x14ac:dyDescent="0.35">
      <c r="A31" s="131" t="s">
        <v>41</v>
      </c>
      <c r="B31" s="132">
        <v>46296</v>
      </c>
      <c r="C31" s="132">
        <v>46310</v>
      </c>
      <c r="D31" s="133">
        <v>0</v>
      </c>
      <c r="E31" s="133"/>
    </row>
    <row r="32" spans="1:5" s="1" customFormat="1" ht="35.15" customHeight="1" x14ac:dyDescent="0.35">
      <c r="A32" s="131" t="s">
        <v>42</v>
      </c>
      <c r="B32" s="132">
        <v>46325</v>
      </c>
      <c r="C32" s="132">
        <v>46351</v>
      </c>
      <c r="D32" s="133">
        <v>0</v>
      </c>
      <c r="E32" s="133"/>
    </row>
    <row r="33" spans="1:5" s="1" customFormat="1" ht="35.15" customHeight="1" x14ac:dyDescent="0.35">
      <c r="A33" s="135" t="s">
        <v>86</v>
      </c>
      <c r="B33" s="136"/>
      <c r="C33" s="136"/>
      <c r="D33" s="137"/>
      <c r="E33" s="137"/>
    </row>
    <row r="34" spans="1:5" s="1" customFormat="1" ht="35.15" customHeight="1" x14ac:dyDescent="0.35">
      <c r="A34" s="131" t="s">
        <v>33</v>
      </c>
      <c r="B34" s="132">
        <v>46277</v>
      </c>
      <c r="C34" s="132">
        <v>46351</v>
      </c>
      <c r="D34" s="133">
        <v>0.1</v>
      </c>
      <c r="E34" s="133"/>
    </row>
    <row r="35" spans="1:5" s="1" customFormat="1" ht="35.15" customHeight="1" x14ac:dyDescent="0.35">
      <c r="A35" s="131" t="s">
        <v>35</v>
      </c>
      <c r="B35" s="132">
        <v>46327</v>
      </c>
      <c r="C35" s="132">
        <v>46356</v>
      </c>
      <c r="D35" s="133">
        <v>0</v>
      </c>
      <c r="E35" s="133"/>
    </row>
    <row r="36" spans="1:5" s="1" customFormat="1" ht="35.15" customHeight="1" x14ac:dyDescent="0.35">
      <c r="A36" s="131" t="s">
        <v>38</v>
      </c>
      <c r="B36" s="132">
        <v>46336</v>
      </c>
      <c r="C36" s="132">
        <v>46356</v>
      </c>
      <c r="D36" s="133">
        <v>0</v>
      </c>
      <c r="E36" s="133"/>
    </row>
    <row r="37" spans="1:5" s="1" customFormat="1" ht="35.15" customHeight="1" x14ac:dyDescent="0.35">
      <c r="A37" s="131" t="s">
        <v>41</v>
      </c>
      <c r="B37" s="132">
        <v>46327</v>
      </c>
      <c r="C37" s="132">
        <v>46336</v>
      </c>
      <c r="D37" s="133">
        <v>0</v>
      </c>
      <c r="E37" s="133"/>
    </row>
    <row r="38" spans="1:5" s="1" customFormat="1" ht="35.15" customHeight="1" x14ac:dyDescent="0.35">
      <c r="A38" s="131" t="s">
        <v>42</v>
      </c>
      <c r="B38" s="132">
        <v>46337</v>
      </c>
      <c r="C38" s="132">
        <v>46346</v>
      </c>
      <c r="D38" s="133">
        <v>0</v>
      </c>
      <c r="E38" s="133"/>
    </row>
    <row r="39" spans="1:5" s="1" customFormat="1" ht="35.15" customHeight="1" x14ac:dyDescent="0.35">
      <c r="A39" s="135" t="s">
        <v>90</v>
      </c>
      <c r="B39" s="136"/>
      <c r="C39" s="136"/>
      <c r="D39" s="137"/>
      <c r="E39" s="137"/>
    </row>
    <row r="40" spans="1:5" s="1" customFormat="1" ht="35.15" customHeight="1" x14ac:dyDescent="0.35">
      <c r="A40" s="131" t="s">
        <v>275</v>
      </c>
      <c r="B40" s="132">
        <v>46296</v>
      </c>
      <c r="C40" s="132">
        <v>46315</v>
      </c>
      <c r="D40" s="133">
        <v>0</v>
      </c>
      <c r="E40" s="133"/>
    </row>
    <row r="41" spans="1:5" s="1" customFormat="1" ht="35.15" customHeight="1" x14ac:dyDescent="0.35">
      <c r="A41" s="131" t="s">
        <v>93</v>
      </c>
      <c r="B41" s="132">
        <v>46336</v>
      </c>
      <c r="C41" s="132">
        <v>46345</v>
      </c>
      <c r="D41" s="133">
        <v>0</v>
      </c>
      <c r="E41" s="133"/>
    </row>
    <row r="42" spans="1:5" s="1" customFormat="1" ht="35.15" customHeight="1" x14ac:dyDescent="0.35">
      <c r="A42" s="131" t="s">
        <v>94</v>
      </c>
      <c r="B42" s="132">
        <v>46346</v>
      </c>
      <c r="C42" s="132">
        <v>46356</v>
      </c>
      <c r="D42" s="133">
        <v>0</v>
      </c>
      <c r="E42" s="133"/>
    </row>
    <row r="43" spans="1:5" s="1" customFormat="1" ht="35.15" customHeight="1" x14ac:dyDescent="0.35">
      <c r="A43" s="131" t="s">
        <v>95</v>
      </c>
      <c r="B43" s="132">
        <v>46346</v>
      </c>
      <c r="C43" s="132">
        <v>46356</v>
      </c>
      <c r="D43" s="133">
        <v>0</v>
      </c>
      <c r="E43" s="133"/>
    </row>
    <row r="44" spans="1:5" s="1" customFormat="1" ht="35.15" customHeight="1" x14ac:dyDescent="0.35">
      <c r="A44" s="4" t="s">
        <v>328</v>
      </c>
      <c r="B44" s="5"/>
      <c r="C44" s="5"/>
      <c r="D44" s="6"/>
      <c r="E44" s="6"/>
    </row>
    <row r="45" spans="1:5" s="1" customFormat="1" ht="35.15" customHeight="1" x14ac:dyDescent="0.35">
      <c r="A45" s="148" t="s">
        <v>352</v>
      </c>
      <c r="B45" s="132"/>
      <c r="C45" s="132"/>
      <c r="D45" s="133"/>
      <c r="E45" s="133"/>
    </row>
    <row r="46" spans="1:5" s="1" customFormat="1" ht="35.15" customHeight="1" x14ac:dyDescent="0.35">
      <c r="A46" s="148" t="s">
        <v>352</v>
      </c>
      <c r="B46" s="132"/>
      <c r="C46" s="132"/>
      <c r="D46" s="133"/>
      <c r="E46" s="133"/>
    </row>
    <row r="47" spans="1:5" s="1" customFormat="1" ht="35.15" customHeight="1" x14ac:dyDescent="0.35">
      <c r="A47" s="162" t="s">
        <v>336</v>
      </c>
      <c r="B47" s="163"/>
      <c r="C47" s="163"/>
      <c r="D47" s="164"/>
      <c r="E47" s="164"/>
    </row>
    <row r="48" spans="1:5" s="1" customFormat="1" ht="35.15" customHeight="1" x14ac:dyDescent="0.35">
      <c r="A48" s="131" t="s">
        <v>337</v>
      </c>
      <c r="B48" s="132"/>
      <c r="C48" s="132"/>
      <c r="D48" s="133"/>
      <c r="E48" s="133"/>
    </row>
    <row r="49" spans="1:5" s="1" customFormat="1" ht="35.15" customHeight="1" x14ac:dyDescent="0.35">
      <c r="A49" s="131" t="s">
        <v>339</v>
      </c>
      <c r="B49" s="132"/>
      <c r="C49" s="132"/>
      <c r="D49" s="133"/>
      <c r="E49" s="133"/>
    </row>
    <row r="50" spans="1:5" s="1" customFormat="1" ht="35.15" customHeight="1" x14ac:dyDescent="0.35">
      <c r="A50" s="131" t="s">
        <v>338</v>
      </c>
      <c r="B50" s="132"/>
      <c r="C50" s="132"/>
      <c r="D50" s="133"/>
      <c r="E50" s="133"/>
    </row>
    <row r="51" spans="1:5" s="1" customFormat="1" ht="35.15" customHeight="1" x14ac:dyDescent="0.35">
      <c r="A51" s="131" t="s">
        <v>340</v>
      </c>
      <c r="B51" s="132"/>
      <c r="C51" s="132"/>
      <c r="D51" s="133"/>
      <c r="E51" s="133"/>
    </row>
  </sheetData>
  <mergeCells count="5">
    <mergeCell ref="A3:A4"/>
    <mergeCell ref="B3:B4"/>
    <mergeCell ref="C3:C4"/>
    <mergeCell ref="D3:D4"/>
    <mergeCell ref="E3:E4"/>
  </mergeCells>
  <conditionalFormatting sqref="F7:L10 F11:Q15 F14:L16 F17:Q24 F18:L43">
    <cfRule type="expression" dxfId="1050" priority="24">
      <formula>AND($B7&lt;&gt;"",$C7&lt;&gt;"",$D7&gt;0,$B7&lt;=EOMONTH(F$4,0),($B7+(($C7-$B7)*$D7))&gt;=F$4)</formula>
    </cfRule>
    <cfRule type="expression" dxfId="1049" priority="25">
      <formula>AND($B7&lt;&gt;"",$C7&lt;&gt;"",$B7&lt;=EOMONTH(F$4,0),$C7&gt;=F$4)</formula>
    </cfRule>
  </conditionalFormatting>
  <conditionalFormatting sqref="F9:L10 F11:Q15 F17:Q24 F18:L43">
    <cfRule type="expression" dxfId="1048" priority="28">
      <formula>AND($B9&lt;&gt;"",$C9&lt;&gt;"",$D9&lt;&gt;"",$B9&lt;=EOMONTH(F$4,0),($B9+(($C9-$B9)*$D9))&gt;=F$4)</formula>
    </cfRule>
    <cfRule type="expression" dxfId="1047" priority="29">
      <formula>AND($B9&lt;&gt;"",$C9&lt;&gt;"",$B9&lt;=EOMONTH(F$4,0),$C9&gt;=F$4)</formula>
    </cfRule>
  </conditionalFormatting>
  <conditionalFormatting sqref="F44:L44">
    <cfRule type="expression" dxfId="1046" priority="1927">
      <formula>AND($B47&lt;&gt;"",$C47&lt;&gt;"",$D47&gt;0,$B47&lt;=EOMONTH(F$4,0),($B47+(($C47-$B47)*$D47))&gt;=F$4)</formula>
    </cfRule>
    <cfRule type="expression" dxfId="1045" priority="1928">
      <formula>AND($B47&lt;&gt;"",$C47&lt;&gt;"",$B47&lt;=EOMONTH(F$4,0),$C47&gt;=F$4)</formula>
    </cfRule>
    <cfRule type="expression" dxfId="1044" priority="1931">
      <formula>AND($B47&lt;&gt;"",$C47&lt;&gt;"",$D47&lt;&gt;"",$B47&lt;=EOMONTH(F$4,0),($B47+(($C47-$B47)*$D47))&gt;=F$4)</formula>
    </cfRule>
    <cfRule type="expression" dxfId="1043" priority="1932">
      <formula>AND($B47&lt;&gt;"",$C47&lt;&gt;"",$B47&lt;=EOMONTH(F$4,0),$C47&gt;=F$4)</formula>
    </cfRule>
  </conditionalFormatting>
  <conditionalFormatting sqref="F45:L46">
    <cfRule type="expression" dxfId="1042" priority="8">
      <formula>AND($B45&lt;&gt;"",$C45&lt;&gt;"",$B45&lt;=EOMONTH(F$4,0),$C45&gt;=F$4)</formula>
    </cfRule>
    <cfRule type="expression" dxfId="1041" priority="9">
      <formula>AND($B45&lt;&gt;"",$C45&lt;&gt;"",$D45&lt;&gt;"",$B45&lt;=EOMONTH(F$4,0),($B45+(($C45-$B45)*$D45))&gt;=F$4)</formula>
    </cfRule>
    <cfRule type="expression" dxfId="1040" priority="10">
      <formula>AND($B45&lt;&gt;"",$C45&lt;&gt;"",$B45&lt;=EOMONTH(F$4,0),$C45&gt;=F$4)</formula>
    </cfRule>
  </conditionalFormatting>
  <conditionalFormatting sqref="F47:L47 F52:L52">
    <cfRule type="expression" dxfId="1039" priority="1919">
      <formula>AND($B48&lt;&gt;"",$C48&lt;&gt;"",$D48&gt;0,$B48&lt;=EOMONTH(F$4,0),($B48+(($C48-$B48)*$D48))&gt;=F$4)</formula>
    </cfRule>
    <cfRule type="expression" dxfId="1038" priority="1920">
      <formula>AND($B48&lt;&gt;"",$C48&lt;&gt;"",$B48&lt;=EOMONTH(F$4,0),$C48&gt;=F$4)</formula>
    </cfRule>
  </conditionalFormatting>
  <conditionalFormatting sqref="F47:L47 F52:L94">
    <cfRule type="expression" dxfId="1037" priority="1923">
      <formula>AND($B48&lt;&gt;"",$C48&lt;&gt;"",$D48&lt;&gt;"",$B48&lt;=EOMONTH(F$4,0),($B48+(($C48-$B48)*$D48))&gt;=F$4)</formula>
    </cfRule>
    <cfRule type="expression" dxfId="1036" priority="1924">
      <formula>AND($B48&lt;&gt;"",$C48&lt;&gt;"",$B48&lt;=EOMONTH(F$4,0),$C48&gt;=F$4)</formula>
    </cfRule>
  </conditionalFormatting>
  <conditionalFormatting sqref="F48:L51">
    <cfRule type="expression" dxfId="1035" priority="3">
      <formula>AND($B48&lt;&gt;"",$C48&lt;&gt;"",$B48&lt;=EOMONTH(F$4,0),$C48&gt;=F$4)</formula>
    </cfRule>
    <cfRule type="expression" dxfId="1034" priority="4">
      <formula>AND($B48&lt;&gt;"",$C48&lt;&gt;"",$D48&lt;&gt;"",$B48&lt;=EOMONTH(F$4,0),($B48+(($C48-$B48)*$D48))&gt;=F$4)</formula>
    </cfRule>
    <cfRule type="expression" dxfId="1033" priority="5">
      <formula>AND($B48&lt;&gt;"",$C48&lt;&gt;"",$B48&lt;=EOMONTH(F$4,0),$C48&gt;=F$4)</formula>
    </cfRule>
  </conditionalFormatting>
  <conditionalFormatting sqref="F4:M4">
    <cfRule type="expression" dxfId="1032" priority="35">
      <formula>F$4=period_selected</formula>
    </cfRule>
  </conditionalFormatting>
  <conditionalFormatting sqref="F6:M10 F11:Q24 F21:L44 F25:M94">
    <cfRule type="expression" dxfId="1031" priority="30">
      <formula>PercentCompleteBeyond</formula>
    </cfRule>
    <cfRule type="expression" dxfId="1030" priority="31">
      <formula>Actual</formula>
    </cfRule>
    <cfRule type="expression" dxfId="1029" priority="32">
      <formula>ActualBeyond</formula>
    </cfRule>
    <cfRule type="expression" dxfId="1028" priority="33">
      <formula>Plan</formula>
    </cfRule>
    <cfRule type="expression" dxfId="1027" priority="34">
      <formula>F$4=period_selected</formula>
    </cfRule>
    <cfRule type="expression" dxfId="1026" priority="36">
      <formula>MOD(COLUMN(),2)</formula>
    </cfRule>
    <cfRule type="expression" dxfId="1025" priority="37">
      <formula>MOD(COLUMN(),2)=0</formula>
    </cfRule>
  </conditionalFormatting>
  <conditionalFormatting sqref="F7:M43">
    <cfRule type="expression" dxfId="1024" priority="23">
      <formula>AND($B7&lt;&gt;"",$C7&lt;&gt;"",$D7&gt;0,$B7&lt;=EOMONTH(F$4,0),($B7+(($C7-$B7)*$D7))&gt;=F$4)</formula>
    </cfRule>
  </conditionalFormatting>
  <conditionalFormatting sqref="F44:M44">
    <cfRule type="expression" dxfId="1023" priority="1935">
      <formula>AND($B47&lt;&gt;"",$C47&lt;&gt;"",$D47&gt;0,$B47&lt;=EOMONTH(F$4,0),($B47+(($C47-$B47)*$D47))&gt;=F$4)</formula>
    </cfRule>
  </conditionalFormatting>
  <conditionalFormatting sqref="F45:M46">
    <cfRule type="expression" dxfId="1022" priority="6">
      <formula>AND($B45&lt;&gt;"",$C45&lt;&gt;"",$D45&gt;0,$B45&lt;=EOMONTH(F$4,0),($B45+(($C45-$B45)*$D45))&gt;=F$4)</formula>
    </cfRule>
  </conditionalFormatting>
  <conditionalFormatting sqref="F47:M47 F52:M83">
    <cfRule type="expression" dxfId="1021" priority="1926">
      <formula>AND($B48&lt;&gt;"",$C48&lt;&gt;"",$D48&gt;0,$B48&lt;=EOMONTH(F$4,0),($B48+(($C48-$B48)*$D48))&gt;=F$4)</formula>
    </cfRule>
  </conditionalFormatting>
  <conditionalFormatting sqref="F48:M51">
    <cfRule type="expression" dxfId="1020" priority="1">
      <formula>AND($B48&lt;&gt;"",$C48&lt;&gt;"",$D48&gt;0,$B48&lt;=EOMONTH(F$4,0),($B48+(($C48-$B48)*$D48))&gt;=F$4)</formula>
    </cfRule>
  </conditionalFormatting>
  <dataValidations count="7">
    <dataValidation allowBlank="1" showInputMessage="1" showErrorMessage="1" prompt="Title of the project. Enter a new title in this cell. Highlight a period in H2. Chart legend is in J2 to AI2" sqref="A1" xr:uid="{4BF8BC5E-EEAB-416D-9D26-0C542536303A}"/>
    <dataValidation allowBlank="1" showInputMessage="1" showErrorMessage="1" prompt="Enter the percentage of project completed in column G, starting with cell G5" sqref="D3:D5" xr:uid="{AEB9F249-B4B8-4667-B4C2-7B86210C48E9}"/>
    <dataValidation allowBlank="1" showInputMessage="1" showErrorMessage="1" prompt="Enter plan start period in column C, starting with cell C5" sqref="B3:B5" xr:uid="{A15FA75A-1865-40F5-BC37-BBBC5823B824}"/>
    <dataValidation allowBlank="1" showInputMessage="1" showErrorMessage="1" prompt="Enter activity in column B, starting with cell B5_x000a_" sqref="A3:A5" xr:uid="{6AF34B32-5901-42BB-B5F8-4BD0C2CDFDDD}"/>
    <dataValidation allowBlank="1" showInputMessage="1" showErrorMessage="1" prompt="This legend cell indicates the percentage of project completed" sqref="J2" xr:uid="{D7A27A49-939E-4916-B153-675F9540628B}"/>
    <dataValidation allowBlank="1" showInputMessage="1" showErrorMessage="1" prompt="Enter actual duration period in column F, starting with cell F5" sqref="C3:D5" xr:uid="{0316BA66-4DDE-4586-B99A-D72CCDC9D94B}"/>
    <dataValidation allowBlank="1" showInputMessage="1" showErrorMessage="1" prompt="Select a period to highlight in H2. A Chart legend is in J2 to AI2" sqref="A2:D2" xr:uid="{5C0E69D5-C75D-44CA-9F0B-DF80477557A0}"/>
  </dataValidations>
  <printOptions horizontalCentered="1"/>
  <pageMargins left="0.45" right="0.45" top="0.5" bottom="1.05" header="0.3" footer="0.3"/>
  <pageSetup paperSize="8" fitToHeight="0" orientation="landscape" r:id="rId1"/>
  <headerFooter differentFirst="1">
    <oddFooter>&amp;L_x000D_&amp;1#&amp;"Aptos"&amp;8&amp;K000000 Sensitivity: LNT Construction Internal Use</oddFooter>
    <firstFooter>&amp;L_x000D_&amp;1#&amp;"Aptos"&amp;8&amp;K000000 Sensitivity: LNT Construction Internal Use</firstFooter>
  </headerFooter>
  <rowBreaks count="2" manualBreakCount="2">
    <brk id="20" max="16383" man="1"/>
    <brk id="38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4AB3B-55AA-49A2-BD00-C955E2C5A2DF}">
  <sheetPr>
    <tabColor rgb="FFD0D55E"/>
    <pageSetUpPr fitToPage="1"/>
  </sheetPr>
  <dimension ref="B1:AC57"/>
  <sheetViews>
    <sheetView showGridLines="0" zoomScale="62" zoomScaleNormal="70" zoomScaleSheetLayoutView="80" workbookViewId="0">
      <pane xSplit="6" ySplit="4" topLeftCell="G5" activePane="bottomRight" state="frozen"/>
      <selection pane="topRight" activeCell="I1" sqref="I1"/>
      <selection pane="bottomLeft" activeCell="A5" sqref="A5"/>
      <selection pane="bottomRight" activeCell="A41" sqref="A41:XFD41"/>
    </sheetView>
  </sheetViews>
  <sheetFormatPr defaultColWidth="2.75" defaultRowHeight="30" customHeight="1" x14ac:dyDescent="0.4"/>
  <cols>
    <col min="1" max="1" width="2.58203125" customWidth="1"/>
    <col min="2" max="2" width="27.33203125" style="2" customWidth="1"/>
    <col min="3" max="3" width="15.33203125" style="1" customWidth="1"/>
    <col min="4" max="4" width="13.33203125" customWidth="1"/>
    <col min="5" max="5" width="15.58203125" style="3" customWidth="1"/>
    <col min="6" max="6" width="33.08203125" style="3" customWidth="1"/>
    <col min="7" max="7" width="8.58203125" style="1" bestFit="1" customWidth="1"/>
    <col min="8" max="8" width="8.83203125" style="1" bestFit="1" customWidth="1"/>
    <col min="9" max="10" width="8.25" style="1" bestFit="1" customWidth="1"/>
    <col min="11" max="11" width="8.58203125" style="1" bestFit="1" customWidth="1"/>
    <col min="12" max="12" width="8.25" style="1" bestFit="1" customWidth="1"/>
    <col min="13" max="13" width="8.58203125" style="1" bestFit="1" customWidth="1"/>
    <col min="14" max="14" width="8.25" style="1" bestFit="1" customWidth="1"/>
    <col min="15" max="15" width="8.58203125" style="1" bestFit="1" customWidth="1"/>
    <col min="16" max="23" width="9.5" style="1" bestFit="1" customWidth="1"/>
  </cols>
  <sheetData>
    <row r="1" spans="2:29" ht="30.75" customHeight="1" x14ac:dyDescent="1.2">
      <c r="B1" s="47" t="s">
        <v>281</v>
      </c>
      <c r="C1" s="48"/>
      <c r="D1" s="49"/>
      <c r="E1" s="48"/>
      <c r="F1" s="48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5"/>
      <c r="U1" s="45"/>
      <c r="V1" s="45"/>
      <c r="W1" s="46"/>
      <c r="X1" s="21"/>
      <c r="Y1" s="14"/>
      <c r="Z1" s="14"/>
      <c r="AA1" s="14"/>
      <c r="AB1" s="14"/>
      <c r="AC1" s="14"/>
    </row>
    <row r="2" spans="2:29" ht="32" x14ac:dyDescent="0.4">
      <c r="B2" s="37"/>
      <c r="C2" s="37"/>
      <c r="D2" s="37"/>
      <c r="E2" s="38" t="s">
        <v>2</v>
      </c>
      <c r="F2" s="38"/>
      <c r="G2" s="39">
        <v>46266</v>
      </c>
      <c r="H2" s="40"/>
      <c r="I2" s="41"/>
      <c r="J2" s="42" t="s">
        <v>5</v>
      </c>
      <c r="K2" s="42"/>
      <c r="L2" s="43"/>
      <c r="M2" s="261" t="s">
        <v>32</v>
      </c>
      <c r="N2" s="261"/>
      <c r="O2" s="261"/>
      <c r="P2" s="21"/>
      <c r="Q2" s="21"/>
      <c r="R2" s="21"/>
      <c r="S2" s="21"/>
      <c r="T2" s="21"/>
      <c r="U2" s="21"/>
      <c r="V2" s="21"/>
      <c r="W2" s="21"/>
      <c r="X2" s="21"/>
      <c r="Y2" s="14"/>
      <c r="Z2" s="14"/>
      <c r="AA2" s="14"/>
      <c r="AB2" s="14"/>
      <c r="AC2" s="14"/>
    </row>
    <row r="3" spans="2:29" s="11" customFormat="1" ht="16" x14ac:dyDescent="0.4">
      <c r="B3" s="247" t="s">
        <v>1</v>
      </c>
      <c r="C3" s="248" t="s">
        <v>3</v>
      </c>
      <c r="D3" s="248" t="s">
        <v>31</v>
      </c>
      <c r="E3" s="248" t="s">
        <v>4</v>
      </c>
      <c r="F3" s="248" t="s">
        <v>97</v>
      </c>
      <c r="G3" s="12" t="s">
        <v>0</v>
      </c>
      <c r="H3" s="13"/>
      <c r="I3" s="24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</row>
    <row r="4" spans="2:29" ht="38.15" customHeight="1" x14ac:dyDescent="0.35">
      <c r="B4" s="247"/>
      <c r="C4" s="248"/>
      <c r="D4" s="248"/>
      <c r="E4" s="248"/>
      <c r="F4" s="248"/>
      <c r="G4" s="22">
        <v>46113</v>
      </c>
      <c r="H4" s="22">
        <f>EDATE(G4,1)</f>
        <v>46143</v>
      </c>
      <c r="I4" s="22">
        <f t="shared" ref="I4:V4" si="0">EDATE(H4,1)</f>
        <v>46174</v>
      </c>
      <c r="J4" s="22">
        <f t="shared" si="0"/>
        <v>46204</v>
      </c>
      <c r="K4" s="22">
        <f t="shared" si="0"/>
        <v>46235</v>
      </c>
      <c r="L4" s="22">
        <f t="shared" si="0"/>
        <v>46266</v>
      </c>
      <c r="M4" s="22">
        <f t="shared" si="0"/>
        <v>46296</v>
      </c>
      <c r="N4" s="22">
        <f t="shared" si="0"/>
        <v>46327</v>
      </c>
      <c r="O4" s="22">
        <f t="shared" si="0"/>
        <v>46357</v>
      </c>
      <c r="P4" s="22">
        <f t="shared" si="0"/>
        <v>46388</v>
      </c>
      <c r="Q4" s="22">
        <f t="shared" si="0"/>
        <v>46419</v>
      </c>
      <c r="R4" s="22">
        <f t="shared" si="0"/>
        <v>46447</v>
      </c>
      <c r="S4" s="22">
        <f t="shared" si="0"/>
        <v>46478</v>
      </c>
      <c r="T4" s="22">
        <f t="shared" si="0"/>
        <v>46508</v>
      </c>
      <c r="U4" s="22">
        <f t="shared" si="0"/>
        <v>46539</v>
      </c>
      <c r="V4" s="22">
        <f t="shared" si="0"/>
        <v>46569</v>
      </c>
      <c r="W4" s="23"/>
    </row>
    <row r="5" spans="2:29" ht="30" customHeight="1" x14ac:dyDescent="0.35">
      <c r="B5" s="25" t="s">
        <v>276</v>
      </c>
      <c r="C5" s="34">
        <v>46130</v>
      </c>
      <c r="D5" s="34">
        <v>46295</v>
      </c>
      <c r="E5" s="35">
        <v>0.96</v>
      </c>
      <c r="F5" s="35" t="s">
        <v>277</v>
      </c>
    </row>
    <row r="6" spans="2:29" ht="30" customHeight="1" x14ac:dyDescent="0.35">
      <c r="B6" s="4" t="s">
        <v>7</v>
      </c>
      <c r="C6" s="5"/>
      <c r="D6" s="5"/>
      <c r="E6" s="6"/>
      <c r="F6" s="6"/>
    </row>
    <row r="7" spans="2:29" ht="30" customHeight="1" x14ac:dyDescent="0.35">
      <c r="B7" s="25" t="s">
        <v>8</v>
      </c>
      <c r="C7" s="34">
        <v>46191</v>
      </c>
      <c r="D7" s="34">
        <v>46290</v>
      </c>
      <c r="E7" s="35">
        <v>0.94</v>
      </c>
      <c r="F7" s="35"/>
    </row>
    <row r="8" spans="2:29" ht="30" customHeight="1" x14ac:dyDescent="0.35">
      <c r="B8" s="25" t="s">
        <v>278</v>
      </c>
      <c r="C8" s="34">
        <v>46231</v>
      </c>
      <c r="D8" s="34">
        <v>46310</v>
      </c>
      <c r="E8" s="35">
        <v>0.57999999999999996</v>
      </c>
      <c r="F8" s="35"/>
    </row>
    <row r="9" spans="2:29" ht="30" customHeight="1" x14ac:dyDescent="0.35">
      <c r="B9" s="25" t="s">
        <v>272</v>
      </c>
      <c r="C9" s="34">
        <v>46251</v>
      </c>
      <c r="D9" s="34">
        <v>46315</v>
      </c>
      <c r="E9" s="35">
        <v>0.42</v>
      </c>
      <c r="F9" s="35"/>
    </row>
    <row r="10" spans="2:29" ht="30" customHeight="1" x14ac:dyDescent="0.35">
      <c r="B10" s="25" t="s">
        <v>270</v>
      </c>
      <c r="C10" s="34"/>
      <c r="D10" s="34">
        <v>46345</v>
      </c>
      <c r="E10" s="35">
        <v>0.32</v>
      </c>
      <c r="F10" s="35"/>
    </row>
    <row r="11" spans="2:29" ht="18.5" x14ac:dyDescent="0.35">
      <c r="B11" s="25" t="s">
        <v>271</v>
      </c>
      <c r="C11" s="34"/>
      <c r="D11" s="34">
        <v>46376</v>
      </c>
      <c r="E11" s="35">
        <v>0.26</v>
      </c>
      <c r="F11" s="35"/>
      <c r="W11"/>
    </row>
    <row r="12" spans="2:29" ht="18.5" x14ac:dyDescent="0.35">
      <c r="B12" s="25" t="s">
        <v>75</v>
      </c>
      <c r="C12" s="34">
        <v>46296</v>
      </c>
      <c r="D12" s="34">
        <v>46340</v>
      </c>
      <c r="E12" s="35">
        <v>0</v>
      </c>
      <c r="F12" s="35"/>
      <c r="W12"/>
    </row>
    <row r="13" spans="2:29" ht="18.5" hidden="1" x14ac:dyDescent="0.35">
      <c r="B13" s="25" t="s">
        <v>11</v>
      </c>
      <c r="C13" s="34">
        <v>46285</v>
      </c>
      <c r="D13" s="34">
        <v>46315</v>
      </c>
      <c r="E13" s="35">
        <v>0</v>
      </c>
      <c r="F13" s="35"/>
      <c r="X13" s="1"/>
      <c r="Y13" s="1"/>
      <c r="Z13" s="1"/>
      <c r="AA13" s="1"/>
    </row>
    <row r="14" spans="2:29" ht="30" hidden="1" customHeight="1" x14ac:dyDescent="0.35">
      <c r="B14" s="25" t="s">
        <v>76</v>
      </c>
      <c r="C14" s="34">
        <v>46211</v>
      </c>
      <c r="D14" s="34">
        <f>VLOOKUP(B14,[2]OPD!$B$1:$D$111,3,FALSE)</f>
        <v>46310</v>
      </c>
      <c r="E14" s="35">
        <v>0.2</v>
      </c>
      <c r="F14" s="35"/>
      <c r="X14" s="1"/>
      <c r="Y14" s="1"/>
      <c r="Z14" s="1"/>
      <c r="AA14" s="1"/>
    </row>
    <row r="15" spans="2:29" ht="30" hidden="1" customHeight="1" x14ac:dyDescent="0.35">
      <c r="B15" s="25" t="s">
        <v>77</v>
      </c>
      <c r="C15" s="34">
        <f>C14+25</f>
        <v>46236</v>
      </c>
      <c r="D15" s="34">
        <f>VLOOKUP(B15,[2]OPD!$B$1:$D$111,3,FALSE)</f>
        <v>46323</v>
      </c>
      <c r="E15" s="35">
        <v>0</v>
      </c>
      <c r="F15" s="35"/>
      <c r="X15" s="1"/>
      <c r="Y15" s="1"/>
      <c r="Z15" s="1"/>
      <c r="AA15" s="1"/>
    </row>
    <row r="16" spans="2:29" ht="30" hidden="1" customHeight="1" x14ac:dyDescent="0.35">
      <c r="B16" s="25" t="s">
        <v>78</v>
      </c>
      <c r="C16" s="34">
        <f t="shared" ref="C16:C17" si="1">C15+25</f>
        <v>46261</v>
      </c>
      <c r="D16" s="34">
        <f>VLOOKUP(B16,[2]OPD!$B$1:$D$111,3,FALSE)</f>
        <v>46346</v>
      </c>
      <c r="E16" s="35">
        <v>0</v>
      </c>
      <c r="F16" s="35"/>
      <c r="X16" s="1"/>
      <c r="Y16" s="1"/>
      <c r="Z16" s="1"/>
      <c r="AA16" s="1"/>
    </row>
    <row r="17" spans="2:6" ht="30" hidden="1" customHeight="1" x14ac:dyDescent="0.35">
      <c r="B17" s="25" t="s">
        <v>79</v>
      </c>
      <c r="C17" s="34">
        <f t="shared" si="1"/>
        <v>46286</v>
      </c>
      <c r="D17" s="34">
        <f>VLOOKUP(B17,[2]OPD!$B$1:$D$111,3,FALSE)</f>
        <v>46371</v>
      </c>
      <c r="E17" s="35">
        <v>0</v>
      </c>
      <c r="F17" s="35"/>
    </row>
    <row r="18" spans="2:6" ht="30" customHeight="1" x14ac:dyDescent="0.35">
      <c r="B18" s="25" t="s">
        <v>279</v>
      </c>
      <c r="C18" s="34">
        <v>46300</v>
      </c>
      <c r="D18" s="34">
        <v>46346</v>
      </c>
      <c r="E18" s="35">
        <v>0</v>
      </c>
      <c r="F18" s="35"/>
    </row>
    <row r="19" spans="2:6" ht="30" customHeight="1" x14ac:dyDescent="0.35">
      <c r="B19" s="25" t="s">
        <v>13</v>
      </c>
      <c r="C19" s="34">
        <v>46296</v>
      </c>
      <c r="D19" s="34">
        <v>46376</v>
      </c>
      <c r="E19" s="35">
        <v>0</v>
      </c>
      <c r="F19" s="35"/>
    </row>
    <row r="20" spans="2:6" ht="30" customHeight="1" x14ac:dyDescent="0.35">
      <c r="B20" s="25" t="s">
        <v>273</v>
      </c>
      <c r="C20" s="34">
        <v>46267</v>
      </c>
      <c r="D20" s="34">
        <v>46386</v>
      </c>
      <c r="E20" s="35">
        <v>0.25</v>
      </c>
      <c r="F20" s="35"/>
    </row>
    <row r="21" spans="2:6" ht="30" hidden="1" customHeight="1" x14ac:dyDescent="0.35">
      <c r="B21" s="16" t="s">
        <v>14</v>
      </c>
      <c r="C21" s="17"/>
      <c r="D21" s="17"/>
      <c r="E21" s="18"/>
      <c r="F21" s="18"/>
    </row>
    <row r="22" spans="2:6" ht="30" hidden="1" customHeight="1" x14ac:dyDescent="0.35">
      <c r="B22" s="25" t="s">
        <v>15</v>
      </c>
      <c r="C22" s="34">
        <v>46262</v>
      </c>
      <c r="D22" s="34">
        <v>46301</v>
      </c>
      <c r="E22" s="35">
        <f>'UG MALE backup'!E48/'UG MALE backup'!D48</f>
        <v>0</v>
      </c>
      <c r="F22" s="35"/>
    </row>
    <row r="23" spans="2:6" ht="30" hidden="1" customHeight="1" x14ac:dyDescent="0.35">
      <c r="B23" s="25" t="s">
        <v>98</v>
      </c>
      <c r="C23" s="34">
        <f>MIN(C24:C27)</f>
        <v>46101</v>
      </c>
      <c r="D23" s="34">
        <f>MAX(D24:D27)</f>
        <v>46325</v>
      </c>
      <c r="E23" s="35">
        <f>AVERAGE(E24:E27)</f>
        <v>0.59250000000000003</v>
      </c>
      <c r="F23" s="35"/>
    </row>
    <row r="24" spans="2:6" ht="30" hidden="1" customHeight="1" x14ac:dyDescent="0.35">
      <c r="B24" s="25" t="s">
        <v>20</v>
      </c>
      <c r="C24" s="34">
        <v>46101</v>
      </c>
      <c r="D24" s="34">
        <v>46264</v>
      </c>
      <c r="E24" s="35">
        <v>1</v>
      </c>
      <c r="F24" s="35"/>
    </row>
    <row r="25" spans="2:6" ht="30" hidden="1" customHeight="1" x14ac:dyDescent="0.35">
      <c r="B25" s="25" t="s">
        <v>21</v>
      </c>
      <c r="C25" s="34">
        <v>46183</v>
      </c>
      <c r="D25" s="34">
        <v>46305</v>
      </c>
      <c r="E25" s="35">
        <v>0.92</v>
      </c>
      <c r="F25" s="35"/>
    </row>
    <row r="26" spans="2:6" ht="30" hidden="1" customHeight="1" x14ac:dyDescent="0.35">
      <c r="B26" s="25" t="s">
        <v>22</v>
      </c>
      <c r="C26" s="34">
        <v>46167</v>
      </c>
      <c r="D26" s="34">
        <f>VLOOKUP(B26,[2]OPD!$B$1:$D$111,3,FALSE)</f>
        <v>46295</v>
      </c>
      <c r="E26" s="35">
        <v>0.45</v>
      </c>
      <c r="F26" s="35"/>
    </row>
    <row r="27" spans="2:6" ht="30" hidden="1" customHeight="1" x14ac:dyDescent="0.35">
      <c r="B27" s="25" t="s">
        <v>23</v>
      </c>
      <c r="C27" s="34">
        <v>46193</v>
      </c>
      <c r="D27" s="34">
        <f>VLOOKUP(B27,[2]OPD!$B$1:$D$111,3,FALSE)</f>
        <v>46325</v>
      </c>
      <c r="E27" s="35">
        <v>0</v>
      </c>
      <c r="F27" s="35"/>
    </row>
    <row r="28" spans="2:6" ht="30" hidden="1" customHeight="1" x14ac:dyDescent="0.35">
      <c r="B28" s="25" t="s">
        <v>20</v>
      </c>
      <c r="C28" s="36">
        <v>46301</v>
      </c>
      <c r="D28" s="36">
        <f>VLOOKUP(B28,[2]OPD!$B$1:$D$111,3,FALSE)</f>
        <v>46310</v>
      </c>
      <c r="E28" s="35">
        <v>0</v>
      </c>
      <c r="F28" s="35"/>
    </row>
    <row r="29" spans="2:6" ht="30" hidden="1" customHeight="1" x14ac:dyDescent="0.35">
      <c r="B29" s="25" t="s">
        <v>21</v>
      </c>
      <c r="C29" s="36">
        <v>46285</v>
      </c>
      <c r="D29" s="36">
        <f>VLOOKUP(B29,[2]OPD!$B$1:$D$111,3,FALSE)</f>
        <v>46305</v>
      </c>
      <c r="E29" s="35">
        <v>0</v>
      </c>
      <c r="F29" s="35"/>
    </row>
    <row r="30" spans="2:6" ht="30" hidden="1" customHeight="1" x14ac:dyDescent="0.35">
      <c r="B30" s="25" t="s">
        <v>22</v>
      </c>
      <c r="C30" s="36">
        <v>46311</v>
      </c>
      <c r="D30" s="36">
        <v>46325</v>
      </c>
      <c r="E30" s="35">
        <v>0</v>
      </c>
      <c r="F30" s="35"/>
    </row>
    <row r="31" spans="2:6" ht="30" hidden="1" customHeight="1" x14ac:dyDescent="0.35">
      <c r="B31" s="25" t="s">
        <v>23</v>
      </c>
      <c r="C31" s="36">
        <v>46327</v>
      </c>
      <c r="D31" s="36">
        <v>46341</v>
      </c>
      <c r="E31" s="35">
        <v>0</v>
      </c>
      <c r="F31" s="35"/>
    </row>
    <row r="32" spans="2:6" ht="30" hidden="1" customHeight="1" x14ac:dyDescent="0.35">
      <c r="B32" s="25" t="s">
        <v>20</v>
      </c>
      <c r="C32" s="36">
        <f>C28+5</f>
        <v>46306</v>
      </c>
      <c r="D32" s="36">
        <v>46315</v>
      </c>
      <c r="E32" s="35">
        <v>0</v>
      </c>
      <c r="F32" s="35"/>
    </row>
    <row r="33" spans="2:6" ht="30" hidden="1" customHeight="1" x14ac:dyDescent="0.35">
      <c r="B33" s="25" t="s">
        <v>21</v>
      </c>
      <c r="C33" s="36">
        <f>C29+5</f>
        <v>46290</v>
      </c>
      <c r="D33" s="36">
        <v>46331</v>
      </c>
      <c r="E33" s="35">
        <v>0</v>
      </c>
      <c r="F33" s="35"/>
    </row>
    <row r="34" spans="2:6" ht="30" hidden="1" customHeight="1" x14ac:dyDescent="0.35">
      <c r="B34" s="25" t="s">
        <v>22</v>
      </c>
      <c r="C34" s="36">
        <f>C30+5</f>
        <v>46316</v>
      </c>
      <c r="D34" s="36">
        <v>46348</v>
      </c>
      <c r="E34" s="35">
        <v>0</v>
      </c>
      <c r="F34" s="35"/>
    </row>
    <row r="35" spans="2:6" ht="30" hidden="1" customHeight="1" x14ac:dyDescent="0.35">
      <c r="B35" s="25" t="s">
        <v>23</v>
      </c>
      <c r="C35" s="36">
        <f>C31+5</f>
        <v>46332</v>
      </c>
      <c r="D35" s="36">
        <v>46361</v>
      </c>
      <c r="E35" s="35">
        <v>0</v>
      </c>
      <c r="F35" s="35"/>
    </row>
    <row r="36" spans="2:6" ht="30" customHeight="1" x14ac:dyDescent="0.35">
      <c r="B36" s="25" t="s">
        <v>280</v>
      </c>
      <c r="C36" s="36">
        <v>46300</v>
      </c>
      <c r="D36" s="36">
        <v>46331</v>
      </c>
      <c r="E36" s="35">
        <v>0</v>
      </c>
      <c r="F36" s="35"/>
    </row>
    <row r="37" spans="2:6" ht="30" customHeight="1" x14ac:dyDescent="0.35">
      <c r="B37" s="26" t="s">
        <v>82</v>
      </c>
      <c r="C37" s="27"/>
      <c r="D37" s="27"/>
      <c r="E37" s="28"/>
      <c r="F37" s="28"/>
    </row>
    <row r="38" spans="2:6" ht="30" customHeight="1" x14ac:dyDescent="0.35">
      <c r="B38" s="16" t="s">
        <v>83</v>
      </c>
      <c r="C38" s="17"/>
      <c r="D38" s="17"/>
      <c r="E38" s="18"/>
      <c r="F38" s="18"/>
    </row>
    <row r="39" spans="2:6" ht="30" customHeight="1" x14ac:dyDescent="0.35">
      <c r="B39" s="25" t="s">
        <v>33</v>
      </c>
      <c r="C39" s="34">
        <v>46215</v>
      </c>
      <c r="D39" s="34">
        <v>46336</v>
      </c>
      <c r="E39" s="35">
        <v>0.44</v>
      </c>
      <c r="F39" s="35"/>
    </row>
    <row r="40" spans="2:6" ht="30" customHeight="1" x14ac:dyDescent="0.35">
      <c r="B40" s="25" t="s">
        <v>35</v>
      </c>
      <c r="C40" s="34">
        <v>46207</v>
      </c>
      <c r="D40" s="34">
        <v>46336</v>
      </c>
      <c r="E40" s="35">
        <v>0.39</v>
      </c>
      <c r="F40" s="35"/>
    </row>
    <row r="41" spans="2:6" ht="30" customHeight="1" x14ac:dyDescent="0.35">
      <c r="B41" s="25" t="s">
        <v>41</v>
      </c>
      <c r="C41" s="34">
        <v>46305</v>
      </c>
      <c r="D41" s="34">
        <v>46336</v>
      </c>
      <c r="E41" s="35">
        <v>0</v>
      </c>
      <c r="F41" s="35"/>
    </row>
    <row r="42" spans="2:6" s="1" customFormat="1" ht="30" customHeight="1" x14ac:dyDescent="0.35">
      <c r="B42" s="25" t="s">
        <v>42</v>
      </c>
      <c r="C42" s="34">
        <v>46263</v>
      </c>
      <c r="D42" s="34">
        <v>46315</v>
      </c>
      <c r="E42" s="35">
        <v>0.49</v>
      </c>
      <c r="F42" s="35"/>
    </row>
    <row r="43" spans="2:6" s="1" customFormat="1" ht="30" customHeight="1" x14ac:dyDescent="0.35">
      <c r="B43" s="29" t="s">
        <v>85</v>
      </c>
      <c r="C43" s="30"/>
      <c r="D43" s="30"/>
      <c r="E43" s="31"/>
      <c r="F43" s="31"/>
    </row>
    <row r="44" spans="2:6" s="1" customFormat="1" ht="30" customHeight="1" x14ac:dyDescent="0.35">
      <c r="B44" s="25" t="s">
        <v>33</v>
      </c>
      <c r="C44" s="34">
        <v>46310</v>
      </c>
      <c r="D44" s="34">
        <v>46371</v>
      </c>
      <c r="E44" s="35">
        <v>0</v>
      </c>
      <c r="F44" s="35"/>
    </row>
    <row r="45" spans="2:6" s="1" customFormat="1" ht="30" customHeight="1" x14ac:dyDescent="0.35">
      <c r="B45" s="25" t="s">
        <v>35</v>
      </c>
      <c r="C45" s="34">
        <v>46255</v>
      </c>
      <c r="D45" s="34">
        <v>46305</v>
      </c>
      <c r="E45" s="35">
        <v>0.24</v>
      </c>
      <c r="F45" s="35"/>
    </row>
    <row r="46" spans="2:6" s="1" customFormat="1" ht="30" customHeight="1" x14ac:dyDescent="0.35">
      <c r="B46" s="25" t="s">
        <v>41</v>
      </c>
      <c r="C46" s="34">
        <v>46296</v>
      </c>
      <c r="D46" s="34">
        <v>46315</v>
      </c>
      <c r="E46" s="35">
        <v>0</v>
      </c>
      <c r="F46" s="35"/>
    </row>
    <row r="47" spans="2:6" s="1" customFormat="1" ht="30" customHeight="1" x14ac:dyDescent="0.35">
      <c r="B47" s="25" t="s">
        <v>42</v>
      </c>
      <c r="C47" s="34">
        <v>46345</v>
      </c>
      <c r="D47" s="34">
        <v>46374</v>
      </c>
      <c r="E47" s="35">
        <v>0</v>
      </c>
      <c r="F47" s="35"/>
    </row>
    <row r="48" spans="2:6" s="1" customFormat="1" ht="30" customHeight="1" x14ac:dyDescent="0.35">
      <c r="B48" s="16" t="s">
        <v>86</v>
      </c>
      <c r="C48" s="52"/>
      <c r="D48" s="52"/>
      <c r="E48" s="18"/>
      <c r="F48" s="18"/>
    </row>
    <row r="49" spans="2:6" s="1" customFormat="1" ht="30" customHeight="1" x14ac:dyDescent="0.35">
      <c r="B49" s="25" t="s">
        <v>33</v>
      </c>
      <c r="C49" s="34">
        <v>46356</v>
      </c>
      <c r="D49" s="34">
        <v>46386</v>
      </c>
      <c r="E49" s="35">
        <v>0</v>
      </c>
      <c r="F49" s="35"/>
    </row>
    <row r="50" spans="2:6" s="1" customFormat="1" ht="30" customHeight="1" x14ac:dyDescent="0.35">
      <c r="B50" s="25" t="s">
        <v>35</v>
      </c>
      <c r="C50" s="34">
        <v>46356</v>
      </c>
      <c r="D50" s="34">
        <v>46385</v>
      </c>
      <c r="E50" s="35">
        <v>0</v>
      </c>
      <c r="F50" s="35"/>
    </row>
    <row r="51" spans="2:6" s="1" customFormat="1" ht="30" customHeight="1" x14ac:dyDescent="0.35">
      <c r="B51" s="25" t="s">
        <v>41</v>
      </c>
      <c r="C51" s="34">
        <v>46366</v>
      </c>
      <c r="D51" s="34">
        <v>46381</v>
      </c>
      <c r="E51" s="35">
        <v>0</v>
      </c>
      <c r="F51" s="35"/>
    </row>
    <row r="52" spans="2:6" s="1" customFormat="1" ht="30" customHeight="1" x14ac:dyDescent="0.35">
      <c r="B52" s="25" t="s">
        <v>42</v>
      </c>
      <c r="C52" s="34">
        <v>46376</v>
      </c>
      <c r="D52" s="34">
        <v>46386</v>
      </c>
      <c r="E52" s="35">
        <v>0</v>
      </c>
      <c r="F52" s="35"/>
    </row>
    <row r="53" spans="2:6" s="1" customFormat="1" ht="30" customHeight="1" x14ac:dyDescent="0.35">
      <c r="B53" s="16" t="s">
        <v>90</v>
      </c>
      <c r="C53" s="52"/>
      <c r="D53" s="52"/>
      <c r="E53" s="18"/>
      <c r="F53" s="18"/>
    </row>
    <row r="54" spans="2:6" s="1" customFormat="1" ht="30" customHeight="1" x14ac:dyDescent="0.35">
      <c r="B54" s="25" t="s">
        <v>275</v>
      </c>
      <c r="C54" s="34">
        <v>46327</v>
      </c>
      <c r="D54" s="34">
        <v>46356</v>
      </c>
      <c r="E54" s="35">
        <v>0</v>
      </c>
      <c r="F54" s="35"/>
    </row>
    <row r="55" spans="2:6" s="1" customFormat="1" ht="30" customHeight="1" x14ac:dyDescent="0.35">
      <c r="B55" s="25" t="s">
        <v>93</v>
      </c>
      <c r="C55" s="34">
        <v>46357</v>
      </c>
      <c r="D55" s="34">
        <v>46366</v>
      </c>
      <c r="E55" s="35">
        <v>0</v>
      </c>
      <c r="F55" s="35"/>
    </row>
    <row r="56" spans="2:6" s="1" customFormat="1" ht="30" customHeight="1" x14ac:dyDescent="0.35">
      <c r="B56" s="25" t="s">
        <v>94</v>
      </c>
      <c r="C56" s="34">
        <v>46366</v>
      </c>
      <c r="D56" s="34">
        <v>46376</v>
      </c>
      <c r="E56" s="35">
        <v>0</v>
      </c>
      <c r="F56" s="35"/>
    </row>
    <row r="57" spans="2:6" s="1" customFormat="1" ht="30" customHeight="1" x14ac:dyDescent="0.35">
      <c r="B57" s="25" t="s">
        <v>95</v>
      </c>
      <c r="C57" s="34">
        <v>46376</v>
      </c>
      <c r="D57" s="34">
        <v>46386</v>
      </c>
      <c r="E57" s="35">
        <v>0</v>
      </c>
      <c r="F57" s="35"/>
    </row>
  </sheetData>
  <mergeCells count="6">
    <mergeCell ref="M2:O2"/>
    <mergeCell ref="B3:B4"/>
    <mergeCell ref="C3:C4"/>
    <mergeCell ref="D3:D4"/>
    <mergeCell ref="E3:E4"/>
    <mergeCell ref="F3:F4"/>
  </mergeCells>
  <conditionalFormatting sqref="G5:V5">
    <cfRule type="expression" dxfId="1019" priority="3">
      <formula>AND($C5&lt;&gt;"",$D5&lt;&gt;"",$C5&lt;=EOMONTH(G$4,0),$D5&gt;=G$4)</formula>
    </cfRule>
  </conditionalFormatting>
  <conditionalFormatting sqref="G7:V12 G13:AA40 G41:V64">
    <cfRule type="expression" dxfId="1018" priority="15">
      <formula>AND($C7&lt;&gt;"",$D7&lt;&gt;"",$E7&gt;0,$C7&lt;=EOMONTH(G$4,0),($C7+(($D7-$C7)*$E7))&gt;=G$4)</formula>
    </cfRule>
    <cfRule type="expression" dxfId="1017" priority="16">
      <formula>AND($C7&lt;&gt;"",$D7&lt;&gt;"",$C7&lt;=EOMONTH(G$4,0),$D7&gt;=G$4)</formula>
    </cfRule>
  </conditionalFormatting>
  <conditionalFormatting sqref="G10:V12 G13:AA40 G41:V106">
    <cfRule type="expression" dxfId="1016" priority="18">
      <formula>AND($C10&lt;&gt;"",$D10&lt;&gt;"",$E10&lt;&gt;"",$C10&lt;=EOMONTH(G$4,0),($C10+(($D10-$C10)*$E10))&gt;=G$4)</formula>
    </cfRule>
    <cfRule type="expression" dxfId="1015" priority="19">
      <formula>AND($C10&lt;&gt;"",$D10&lt;&gt;"",$C10&lt;=EOMONTH(G$4,0),$D10&gt;=G$4)</formula>
    </cfRule>
  </conditionalFormatting>
  <conditionalFormatting sqref="G4:W4">
    <cfRule type="expression" dxfId="1014" priority="25">
      <formula>G$4=period_selected</formula>
    </cfRule>
  </conditionalFormatting>
  <conditionalFormatting sqref="G5:W5">
    <cfRule type="expression" dxfId="1013" priority="1">
      <formula>AND($C5&lt;&gt;"",$D5&lt;&gt;"",$E5&gt;0,$C5&lt;=EOMONTH(G$4,0),($C5+(($D5-$C5)*$E5))&gt;=G$4)</formula>
    </cfRule>
    <cfRule type="expression" dxfId="1012" priority="5">
      <formula>PercentCompleteBeyond</formula>
    </cfRule>
    <cfRule type="expression" dxfId="1011" priority="6">
      <formula>Actual</formula>
    </cfRule>
    <cfRule type="expression" dxfId="1010" priority="7">
      <formula>ActualBeyond</formula>
    </cfRule>
    <cfRule type="expression" dxfId="1009" priority="8">
      <formula>Plan</formula>
    </cfRule>
    <cfRule type="expression" dxfId="1008" priority="9">
      <formula>G$4=period_selected</formula>
    </cfRule>
    <cfRule type="expression" dxfId="1007" priority="10">
      <formula>MOD(COLUMN(),2)</formula>
    </cfRule>
    <cfRule type="expression" dxfId="1006" priority="11">
      <formula>MOD(COLUMN(),2)=0</formula>
    </cfRule>
  </conditionalFormatting>
  <conditionalFormatting sqref="G6:W12 G13:AA40 G41:W106">
    <cfRule type="expression" dxfId="1005" priority="20">
      <formula>PercentCompleteBeyond</formula>
    </cfRule>
    <cfRule type="expression" dxfId="1004" priority="21">
      <formula>Actual</formula>
    </cfRule>
    <cfRule type="expression" dxfId="1003" priority="22">
      <formula>ActualBeyond</formula>
    </cfRule>
    <cfRule type="expression" dxfId="1002" priority="23">
      <formula>Plan</formula>
    </cfRule>
    <cfRule type="expression" dxfId="1001" priority="24">
      <formula>G$4=period_selected</formula>
    </cfRule>
    <cfRule type="expression" dxfId="1000" priority="26">
      <formula>MOD(COLUMN(),2)</formula>
    </cfRule>
    <cfRule type="expression" dxfId="999" priority="27">
      <formula>MOD(COLUMN(),2)=0</formula>
    </cfRule>
  </conditionalFormatting>
  <conditionalFormatting sqref="G7:W95">
    <cfRule type="expression" dxfId="998" priority="14">
      <formula>AND($C7&lt;&gt;"",$D7&lt;&gt;"",$E7&gt;0,$C7&lt;=EOMONTH(G$4,0),($C7+(($D7-$C7)*$E7))&gt;=G$4)</formula>
    </cfRule>
  </conditionalFormatting>
  <dataValidations count="11"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G2" xr:uid="{9CDBB9E0-1AE1-44A7-9750-BBD975D15ECD}">
      <formula1>$G$4:$W$4</formula1>
    </dataValidation>
    <dataValidation allowBlank="1" showInputMessage="1" showErrorMessage="1" prompt="Select a period to highlight in H2. A Chart legend is in J2 to AI2" sqref="B2:E2" xr:uid="{DEA948FC-3A62-43EF-94D9-4324F0606B62}"/>
    <dataValidation allowBlank="1" showInputMessage="1" showErrorMessage="1" prompt="Enter actual duration period in column F, starting with cell F5" sqref="D3:E5" xr:uid="{1B9906B4-D4B6-42CC-8EB5-6EFEB8916E71}"/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" xr:uid="{E491E73E-EFDD-4D54-B273-99E740ED9991}"/>
    <dataValidation allowBlank="1" showInputMessage="1" showErrorMessage="1" prompt="This legend cell indicates plan duration" sqref="I2" xr:uid="{753925A7-CF14-4F33-8FBA-B508622B129B}"/>
    <dataValidation allowBlank="1" showInputMessage="1" showErrorMessage="1" prompt="This legend cell indicates the percentage of project completed" sqref="T2" xr:uid="{B1443223-ADA1-42DB-B60D-0FBBB7BE0150}"/>
    <dataValidation allowBlank="1" showInputMessage="1" showErrorMessage="1" prompt="Periods are charted from 1 to 60 starting from cell H4 to cell BO4 " sqref="G3" xr:uid="{040B0C82-4AFF-45F2-B76D-4A119406D1A7}"/>
    <dataValidation allowBlank="1" showInputMessage="1" showErrorMessage="1" prompt="Enter activity in column B, starting with cell B5_x000a_" sqref="B3:B5" xr:uid="{793AF6A8-2599-40B4-8158-7E903B3B055E}"/>
    <dataValidation allowBlank="1" showInputMessage="1" showErrorMessage="1" prompt="Enter plan start period in column C, starting with cell C5" sqref="C3:C5" xr:uid="{DFF3F0FC-8211-456D-9F4E-DBBBE419AC8A}"/>
    <dataValidation allowBlank="1" showInputMessage="1" showErrorMessage="1" prompt="Enter the percentage of project completed in column G, starting with cell G5" sqref="E3:E5" xr:uid="{7D57B4FC-666E-4CFB-A10B-B7AD45D74EE6}"/>
    <dataValidation allowBlank="1" showInputMessage="1" showErrorMessage="1" prompt="Title of the project. Enter a new title in this cell. Highlight a period in H2. Chart legend is in J2 to AI2" sqref="B1" xr:uid="{CDC28609-BC1C-4C95-BABA-9E8A46284523}"/>
  </dataValidations>
  <printOptions horizontalCentered="1"/>
  <pageMargins left="0.45" right="0.45" top="0.5" bottom="0.5" header="0.3" footer="0.3"/>
  <pageSetup paperSize="8" scale="75" fitToHeight="0" orientation="landscape" r:id="rId1"/>
  <headerFooter differentFirst="1">
    <oddFooter>&amp;L_x000D_&amp;1#&amp;"Aptos"&amp;8&amp;K000000 Sensitivity: LNT Construction Internal Use</oddFooter>
    <firstFooter>&amp;L_x000D_&amp;1#&amp;"Aptos"&amp;8&amp;K000000 Sensitivity: LNT Construction Internal Use</first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3E370-711F-4F8B-AED8-7919F10F05A0}">
  <sheetPr>
    <tabColor rgb="FFD0D55E"/>
    <pageSetUpPr fitToPage="1"/>
  </sheetPr>
  <dimension ref="B1:AC54"/>
  <sheetViews>
    <sheetView showGridLines="0" zoomScale="62" zoomScaleNormal="70" zoomScaleSheetLayoutView="80" workbookViewId="0">
      <pane xSplit="6" ySplit="4" topLeftCell="H39" activePane="bottomRight" state="frozen"/>
      <selection pane="topRight" activeCell="I1" sqref="I1"/>
      <selection pane="bottomLeft" activeCell="A5" sqref="A5"/>
      <selection pane="bottomRight" activeCell="L17" sqref="L17"/>
    </sheetView>
  </sheetViews>
  <sheetFormatPr defaultColWidth="2.75" defaultRowHeight="30" customHeight="1" x14ac:dyDescent="0.4"/>
  <cols>
    <col min="1" max="1" width="2.58203125" customWidth="1"/>
    <col min="2" max="2" width="27.33203125" style="2" customWidth="1"/>
    <col min="3" max="3" width="15.33203125" style="1" customWidth="1"/>
    <col min="4" max="4" width="13.33203125" customWidth="1"/>
    <col min="5" max="5" width="15.58203125" style="3" customWidth="1"/>
    <col min="6" max="6" width="33.08203125" style="3" customWidth="1"/>
    <col min="7" max="7" width="8.58203125" style="1" bestFit="1" customWidth="1"/>
    <col min="8" max="10" width="8.25" style="1" bestFit="1" customWidth="1"/>
    <col min="11" max="11" width="8.58203125" style="1" bestFit="1" customWidth="1"/>
    <col min="12" max="12" width="8.25" style="1" bestFit="1" customWidth="1"/>
    <col min="13" max="13" width="8.58203125" style="1" bestFit="1" customWidth="1"/>
    <col min="14" max="14" width="8.25" style="1" bestFit="1" customWidth="1"/>
    <col min="15" max="15" width="8.58203125" style="1" bestFit="1" customWidth="1"/>
    <col min="16" max="23" width="9.5" style="1" bestFit="1" customWidth="1"/>
  </cols>
  <sheetData>
    <row r="1" spans="2:29" ht="30.75" customHeight="1" x14ac:dyDescent="1.2">
      <c r="B1" s="47" t="s">
        <v>283</v>
      </c>
      <c r="C1" s="48"/>
      <c r="D1" s="49"/>
      <c r="E1" s="48"/>
      <c r="F1" s="48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5"/>
      <c r="U1" s="45"/>
      <c r="V1" s="45"/>
      <c r="W1" s="46"/>
      <c r="X1" s="21"/>
      <c r="Y1" s="14"/>
      <c r="Z1" s="14"/>
      <c r="AA1" s="14"/>
      <c r="AB1" s="14"/>
      <c r="AC1" s="14"/>
    </row>
    <row r="2" spans="2:29" ht="32" x14ac:dyDescent="0.4">
      <c r="B2" s="37"/>
      <c r="C2" s="37"/>
      <c r="D2" s="37"/>
      <c r="E2" s="38" t="s">
        <v>2</v>
      </c>
      <c r="F2" s="38"/>
      <c r="G2" s="39">
        <v>46266</v>
      </c>
      <c r="H2" s="40"/>
      <c r="I2" s="41"/>
      <c r="J2" s="42" t="s">
        <v>5</v>
      </c>
      <c r="K2" s="42"/>
      <c r="L2" s="43"/>
      <c r="M2" s="261" t="s">
        <v>32</v>
      </c>
      <c r="N2" s="261"/>
      <c r="O2" s="261"/>
      <c r="P2" s="21"/>
      <c r="Q2" s="21"/>
      <c r="R2" s="21"/>
      <c r="S2" s="21"/>
      <c r="T2" s="21"/>
      <c r="U2" s="21"/>
      <c r="V2" s="21"/>
      <c r="W2" s="21"/>
      <c r="X2" s="21"/>
      <c r="Y2" s="14"/>
      <c r="Z2" s="14"/>
      <c r="AA2" s="14"/>
      <c r="AB2" s="14"/>
      <c r="AC2" s="14"/>
    </row>
    <row r="3" spans="2:29" s="11" customFormat="1" ht="16" x14ac:dyDescent="0.4">
      <c r="B3" s="247" t="s">
        <v>1</v>
      </c>
      <c r="C3" s="248" t="s">
        <v>3</v>
      </c>
      <c r="D3" s="248" t="s">
        <v>31</v>
      </c>
      <c r="E3" s="248" t="s">
        <v>4</v>
      </c>
      <c r="F3" s="248" t="s">
        <v>97</v>
      </c>
      <c r="G3" s="12" t="s">
        <v>0</v>
      </c>
      <c r="H3" s="13"/>
      <c r="I3" s="24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</row>
    <row r="4" spans="2:29" ht="38.15" customHeight="1" x14ac:dyDescent="0.35">
      <c r="B4" s="247"/>
      <c r="C4" s="248"/>
      <c r="D4" s="248"/>
      <c r="E4" s="248"/>
      <c r="F4" s="248"/>
      <c r="G4" s="22">
        <v>45901</v>
      </c>
      <c r="H4" s="22">
        <f>EDATE(G4,1)</f>
        <v>45931</v>
      </c>
      <c r="I4" s="22">
        <f t="shared" ref="I4:V4" si="0">EDATE(H4,1)</f>
        <v>45962</v>
      </c>
      <c r="J4" s="22">
        <f t="shared" si="0"/>
        <v>45992</v>
      </c>
      <c r="K4" s="22">
        <f t="shared" si="0"/>
        <v>46023</v>
      </c>
      <c r="L4" s="22">
        <f t="shared" si="0"/>
        <v>46054</v>
      </c>
      <c r="M4" s="22">
        <f t="shared" si="0"/>
        <v>46082</v>
      </c>
      <c r="N4" s="22">
        <f t="shared" si="0"/>
        <v>46113</v>
      </c>
      <c r="O4" s="22">
        <f t="shared" si="0"/>
        <v>46143</v>
      </c>
      <c r="P4" s="22">
        <f t="shared" si="0"/>
        <v>46174</v>
      </c>
      <c r="Q4" s="22">
        <f t="shared" si="0"/>
        <v>46204</v>
      </c>
      <c r="R4" s="22">
        <f t="shared" si="0"/>
        <v>46235</v>
      </c>
      <c r="S4" s="22">
        <f t="shared" si="0"/>
        <v>46266</v>
      </c>
      <c r="T4" s="22">
        <f t="shared" si="0"/>
        <v>46296</v>
      </c>
      <c r="U4" s="22">
        <f t="shared" si="0"/>
        <v>46327</v>
      </c>
      <c r="V4" s="22">
        <f t="shared" si="0"/>
        <v>46357</v>
      </c>
      <c r="W4" s="23"/>
    </row>
    <row r="5" spans="2:29" ht="23" x14ac:dyDescent="0.35">
      <c r="B5" s="8" t="s">
        <v>6</v>
      </c>
      <c r="C5" s="7"/>
      <c r="D5" s="19"/>
      <c r="E5" s="15">
        <v>1</v>
      </c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2:29" ht="30" customHeight="1" x14ac:dyDescent="0.35">
      <c r="B6" s="4" t="s">
        <v>7</v>
      </c>
      <c r="C6" s="5"/>
      <c r="D6" s="5"/>
      <c r="E6" s="6"/>
      <c r="F6" s="6"/>
    </row>
    <row r="7" spans="2:29" ht="30" customHeight="1" x14ac:dyDescent="0.35">
      <c r="B7" s="25" t="s">
        <v>9</v>
      </c>
      <c r="C7" s="34">
        <v>46185</v>
      </c>
      <c r="D7" s="34">
        <v>46295</v>
      </c>
      <c r="E7" s="35">
        <f>('UG MALE backup'!E5+'UG MALE backup'!E7)/('UG MALE backup'!D5+'UG MALE backup'!D7)</f>
        <v>0.35488003726997436</v>
      </c>
      <c r="F7" s="35"/>
    </row>
    <row r="8" spans="2:29" ht="30" customHeight="1" x14ac:dyDescent="0.35">
      <c r="B8" s="25" t="s">
        <v>270</v>
      </c>
      <c r="C8" s="34">
        <v>46280</v>
      </c>
      <c r="D8" s="34">
        <v>46310</v>
      </c>
      <c r="E8" s="35">
        <v>0.1</v>
      </c>
      <c r="F8" s="35"/>
    </row>
    <row r="9" spans="2:29" ht="18.5" x14ac:dyDescent="0.35">
      <c r="B9" s="25" t="s">
        <v>271</v>
      </c>
      <c r="C9" s="34">
        <v>46296</v>
      </c>
      <c r="D9" s="34">
        <v>46325</v>
      </c>
      <c r="E9" s="35">
        <v>0</v>
      </c>
      <c r="F9" s="35"/>
    </row>
    <row r="10" spans="2:29" ht="18.5" x14ac:dyDescent="0.35">
      <c r="B10" s="25" t="s">
        <v>75</v>
      </c>
      <c r="C10" s="34">
        <v>46279</v>
      </c>
      <c r="D10" s="34">
        <v>46320</v>
      </c>
      <c r="E10" s="35">
        <v>0.1</v>
      </c>
      <c r="F10" s="35"/>
    </row>
    <row r="11" spans="2:29" ht="18.5" hidden="1" x14ac:dyDescent="0.35">
      <c r="B11" s="25" t="s">
        <v>11</v>
      </c>
      <c r="C11" s="34">
        <v>46285</v>
      </c>
      <c r="D11" s="34">
        <v>46315</v>
      </c>
      <c r="E11" s="35">
        <v>0</v>
      </c>
      <c r="F11" s="35"/>
      <c r="X11" s="1"/>
      <c r="Y11" s="1"/>
      <c r="Z11" s="1"/>
      <c r="AA11" s="1"/>
    </row>
    <row r="12" spans="2:29" ht="30" hidden="1" customHeight="1" x14ac:dyDescent="0.35">
      <c r="B12" s="25" t="s">
        <v>76</v>
      </c>
      <c r="C12" s="34">
        <v>46211</v>
      </c>
      <c r="D12" s="34">
        <f>VLOOKUP(B12,[2]OPD!$B$1:$D$111,3,FALSE)</f>
        <v>46310</v>
      </c>
      <c r="E12" s="35">
        <v>0.2</v>
      </c>
      <c r="F12" s="35"/>
      <c r="X12" s="1"/>
      <c r="Y12" s="1"/>
      <c r="Z12" s="1"/>
      <c r="AA12" s="1"/>
    </row>
    <row r="13" spans="2:29" ht="30" hidden="1" customHeight="1" x14ac:dyDescent="0.35">
      <c r="B13" s="25" t="s">
        <v>77</v>
      </c>
      <c r="C13" s="34">
        <f>C12+25</f>
        <v>46236</v>
      </c>
      <c r="D13" s="34">
        <f>VLOOKUP(B13,[2]OPD!$B$1:$D$111,3,FALSE)</f>
        <v>46323</v>
      </c>
      <c r="E13" s="35">
        <v>0</v>
      </c>
      <c r="F13" s="35"/>
      <c r="X13" s="1"/>
      <c r="Y13" s="1"/>
      <c r="Z13" s="1"/>
      <c r="AA13" s="1"/>
    </row>
    <row r="14" spans="2:29" ht="30" hidden="1" customHeight="1" x14ac:dyDescent="0.35">
      <c r="B14" s="25" t="s">
        <v>78</v>
      </c>
      <c r="C14" s="34">
        <f t="shared" ref="C14:C15" si="1">C13+25</f>
        <v>46261</v>
      </c>
      <c r="D14" s="34">
        <f>VLOOKUP(B14,[2]OPD!$B$1:$D$111,3,FALSE)</f>
        <v>46346</v>
      </c>
      <c r="E14" s="35">
        <v>0</v>
      </c>
      <c r="F14" s="35"/>
      <c r="X14" s="1"/>
      <c r="Y14" s="1"/>
      <c r="Z14" s="1"/>
      <c r="AA14" s="1"/>
    </row>
    <row r="15" spans="2:29" ht="30" hidden="1" customHeight="1" x14ac:dyDescent="0.35">
      <c r="B15" s="25" t="s">
        <v>79</v>
      </c>
      <c r="C15" s="34">
        <f t="shared" si="1"/>
        <v>46286</v>
      </c>
      <c r="D15" s="34">
        <f>VLOOKUP(B15,[2]OPD!$B$1:$D$111,3,FALSE)</f>
        <v>46371</v>
      </c>
      <c r="E15" s="35">
        <v>0</v>
      </c>
      <c r="F15" s="35"/>
      <c r="X15" s="1"/>
      <c r="Y15" s="1"/>
      <c r="Z15" s="1"/>
      <c r="AA15" s="1"/>
    </row>
    <row r="16" spans="2:29" ht="30" customHeight="1" x14ac:dyDescent="0.35">
      <c r="B16" s="25" t="s">
        <v>13</v>
      </c>
      <c r="C16" s="34">
        <v>46320</v>
      </c>
      <c r="D16" s="34">
        <v>46341</v>
      </c>
      <c r="E16" s="35">
        <v>0</v>
      </c>
      <c r="F16" s="35"/>
      <c r="X16" s="1"/>
      <c r="Y16" s="1"/>
      <c r="Z16" s="1"/>
      <c r="AA16" s="1"/>
    </row>
    <row r="17" spans="2:6" ht="30" customHeight="1" x14ac:dyDescent="0.35">
      <c r="B17" s="25" t="s">
        <v>273</v>
      </c>
      <c r="C17" s="34">
        <v>46267</v>
      </c>
      <c r="D17" s="34">
        <v>46346</v>
      </c>
      <c r="E17" s="35">
        <v>0.25</v>
      </c>
      <c r="F17" s="35"/>
    </row>
    <row r="18" spans="2:6" ht="30" hidden="1" customHeight="1" x14ac:dyDescent="0.35">
      <c r="B18" s="16" t="s">
        <v>14</v>
      </c>
      <c r="C18" s="17"/>
      <c r="D18" s="17"/>
      <c r="E18" s="18"/>
      <c r="F18" s="18"/>
    </row>
    <row r="19" spans="2:6" ht="30" hidden="1" customHeight="1" x14ac:dyDescent="0.35">
      <c r="B19" s="25" t="s">
        <v>15</v>
      </c>
      <c r="C19" s="34">
        <v>46262</v>
      </c>
      <c r="D19" s="34">
        <v>46301</v>
      </c>
      <c r="E19" s="35">
        <f>'UG MALE backup'!E48/'UG MALE backup'!D48</f>
        <v>0</v>
      </c>
      <c r="F19" s="35"/>
    </row>
    <row r="20" spans="2:6" ht="30" hidden="1" customHeight="1" x14ac:dyDescent="0.35">
      <c r="B20" s="25" t="s">
        <v>98</v>
      </c>
      <c r="C20" s="34">
        <f>MIN(C21:C24)</f>
        <v>46101</v>
      </c>
      <c r="D20" s="34">
        <f>MAX(D21:D24)</f>
        <v>46325</v>
      </c>
      <c r="E20" s="35">
        <f>AVERAGE(E21:E24)</f>
        <v>0.59250000000000003</v>
      </c>
      <c r="F20" s="35"/>
    </row>
    <row r="21" spans="2:6" ht="30" hidden="1" customHeight="1" x14ac:dyDescent="0.35">
      <c r="B21" s="25" t="s">
        <v>20</v>
      </c>
      <c r="C21" s="34">
        <v>46101</v>
      </c>
      <c r="D21" s="34">
        <v>46264</v>
      </c>
      <c r="E21" s="35">
        <v>1</v>
      </c>
      <c r="F21" s="35"/>
    </row>
    <row r="22" spans="2:6" ht="30" hidden="1" customHeight="1" x14ac:dyDescent="0.35">
      <c r="B22" s="25" t="s">
        <v>21</v>
      </c>
      <c r="C22" s="34">
        <v>46183</v>
      </c>
      <c r="D22" s="34">
        <v>46305</v>
      </c>
      <c r="E22" s="35">
        <v>0.92</v>
      </c>
      <c r="F22" s="35"/>
    </row>
    <row r="23" spans="2:6" ht="30" hidden="1" customHeight="1" x14ac:dyDescent="0.35">
      <c r="B23" s="25" t="s">
        <v>22</v>
      </c>
      <c r="C23" s="34">
        <v>46167</v>
      </c>
      <c r="D23" s="34">
        <f>VLOOKUP(B23,[2]OPD!$B$1:$D$111,3,FALSE)</f>
        <v>46295</v>
      </c>
      <c r="E23" s="35">
        <v>0.45</v>
      </c>
      <c r="F23" s="35"/>
    </row>
    <row r="24" spans="2:6" ht="30" hidden="1" customHeight="1" x14ac:dyDescent="0.35">
      <c r="B24" s="25" t="s">
        <v>23</v>
      </c>
      <c r="C24" s="34">
        <v>46193</v>
      </c>
      <c r="D24" s="34">
        <f>VLOOKUP(B24,[2]OPD!$B$1:$D$111,3,FALSE)</f>
        <v>46325</v>
      </c>
      <c r="E24" s="35">
        <v>0</v>
      </c>
      <c r="F24" s="35"/>
    </row>
    <row r="25" spans="2:6" ht="30" hidden="1" customHeight="1" x14ac:dyDescent="0.35">
      <c r="B25" s="25" t="s">
        <v>20</v>
      </c>
      <c r="C25" s="36">
        <v>46301</v>
      </c>
      <c r="D25" s="36">
        <f>VLOOKUP(B25,[2]OPD!$B$1:$D$111,3,FALSE)</f>
        <v>46310</v>
      </c>
      <c r="E25" s="35">
        <v>0</v>
      </c>
      <c r="F25" s="35"/>
    </row>
    <row r="26" spans="2:6" ht="30" hidden="1" customHeight="1" x14ac:dyDescent="0.35">
      <c r="B26" s="25" t="s">
        <v>21</v>
      </c>
      <c r="C26" s="36">
        <v>46285</v>
      </c>
      <c r="D26" s="36">
        <f>VLOOKUP(B26,[2]OPD!$B$1:$D$111,3,FALSE)</f>
        <v>46305</v>
      </c>
      <c r="E26" s="35">
        <v>0</v>
      </c>
      <c r="F26" s="35"/>
    </row>
    <row r="27" spans="2:6" ht="30" hidden="1" customHeight="1" x14ac:dyDescent="0.35">
      <c r="B27" s="25" t="s">
        <v>22</v>
      </c>
      <c r="C27" s="36">
        <v>46311</v>
      </c>
      <c r="D27" s="36">
        <v>46325</v>
      </c>
      <c r="E27" s="35">
        <v>0</v>
      </c>
      <c r="F27" s="35"/>
    </row>
    <row r="28" spans="2:6" ht="30" hidden="1" customHeight="1" x14ac:dyDescent="0.35">
      <c r="B28" s="25" t="s">
        <v>23</v>
      </c>
      <c r="C28" s="36">
        <v>46327</v>
      </c>
      <c r="D28" s="36">
        <v>46341</v>
      </c>
      <c r="E28" s="35">
        <v>0</v>
      </c>
      <c r="F28" s="35"/>
    </row>
    <row r="29" spans="2:6" ht="30" hidden="1" customHeight="1" x14ac:dyDescent="0.35">
      <c r="B29" s="25" t="s">
        <v>20</v>
      </c>
      <c r="C29" s="36">
        <f>C25+5</f>
        <v>46306</v>
      </c>
      <c r="D29" s="36">
        <v>46315</v>
      </c>
      <c r="E29" s="35">
        <v>0</v>
      </c>
      <c r="F29" s="35"/>
    </row>
    <row r="30" spans="2:6" ht="30" hidden="1" customHeight="1" x14ac:dyDescent="0.35">
      <c r="B30" s="25" t="s">
        <v>21</v>
      </c>
      <c r="C30" s="36">
        <f>C26+5</f>
        <v>46290</v>
      </c>
      <c r="D30" s="36">
        <v>46331</v>
      </c>
      <c r="E30" s="35">
        <v>0</v>
      </c>
      <c r="F30" s="35"/>
    </row>
    <row r="31" spans="2:6" ht="30" hidden="1" customHeight="1" x14ac:dyDescent="0.35">
      <c r="B31" s="25" t="s">
        <v>22</v>
      </c>
      <c r="C31" s="36">
        <f>C27+5</f>
        <v>46316</v>
      </c>
      <c r="D31" s="36">
        <v>46348</v>
      </c>
      <c r="E31" s="35">
        <v>0</v>
      </c>
      <c r="F31" s="35"/>
    </row>
    <row r="32" spans="2:6" ht="30" hidden="1" customHeight="1" x14ac:dyDescent="0.35">
      <c r="B32" s="25" t="s">
        <v>23</v>
      </c>
      <c r="C32" s="36">
        <f>C28+5</f>
        <v>46332</v>
      </c>
      <c r="D32" s="36">
        <v>46361</v>
      </c>
      <c r="E32" s="35">
        <v>0</v>
      </c>
      <c r="F32" s="35"/>
    </row>
    <row r="33" spans="2:6" ht="30" customHeight="1" x14ac:dyDescent="0.35">
      <c r="B33" s="26" t="s">
        <v>82</v>
      </c>
      <c r="C33" s="27"/>
      <c r="D33" s="27"/>
      <c r="E33" s="28"/>
      <c r="F33" s="28"/>
    </row>
    <row r="34" spans="2:6" ht="30" customHeight="1" x14ac:dyDescent="0.35">
      <c r="B34" s="16" t="s">
        <v>83</v>
      </c>
      <c r="C34" s="17"/>
      <c r="D34" s="17"/>
      <c r="E34" s="18"/>
      <c r="F34" s="18"/>
    </row>
    <row r="35" spans="2:6" ht="30" customHeight="1" x14ac:dyDescent="0.35">
      <c r="B35" s="25" t="s">
        <v>33</v>
      </c>
      <c r="C35" s="34">
        <v>46167</v>
      </c>
      <c r="D35" s="34">
        <v>46244</v>
      </c>
      <c r="E35" s="35">
        <v>1</v>
      </c>
      <c r="F35" s="35"/>
    </row>
    <row r="36" spans="2:6" ht="30" customHeight="1" x14ac:dyDescent="0.35">
      <c r="B36" s="25" t="s">
        <v>35</v>
      </c>
      <c r="C36" s="34">
        <v>46154</v>
      </c>
      <c r="D36" s="34">
        <v>46236</v>
      </c>
      <c r="E36" s="35">
        <v>1</v>
      </c>
      <c r="F36" s="35"/>
    </row>
    <row r="37" spans="2:6" ht="30" customHeight="1" x14ac:dyDescent="0.35">
      <c r="B37" s="25" t="s">
        <v>41</v>
      </c>
      <c r="C37" s="34">
        <v>46293</v>
      </c>
      <c r="D37" s="34">
        <v>46320</v>
      </c>
      <c r="E37" s="35">
        <v>0</v>
      </c>
      <c r="F37" s="35"/>
    </row>
    <row r="38" spans="2:6" s="1" customFormat="1" ht="30" customHeight="1" x14ac:dyDescent="0.35">
      <c r="B38" s="25" t="s">
        <v>42</v>
      </c>
      <c r="C38" s="34">
        <v>46187</v>
      </c>
      <c r="D38" s="34">
        <v>46305</v>
      </c>
      <c r="E38" s="35">
        <v>0.55000000000000004</v>
      </c>
      <c r="F38" s="35"/>
    </row>
    <row r="39" spans="2:6" s="1" customFormat="1" ht="30" customHeight="1" x14ac:dyDescent="0.35">
      <c r="B39" s="29" t="s">
        <v>85</v>
      </c>
      <c r="C39" s="30"/>
      <c r="D39" s="30"/>
      <c r="E39" s="31"/>
      <c r="F39" s="31"/>
    </row>
    <row r="40" spans="2:6" s="1" customFormat="1" ht="30" customHeight="1" x14ac:dyDescent="0.35">
      <c r="B40" s="25" t="s">
        <v>33</v>
      </c>
      <c r="C40" s="34">
        <v>46305</v>
      </c>
      <c r="D40" s="34">
        <v>46320</v>
      </c>
      <c r="E40" s="35">
        <v>0</v>
      </c>
      <c r="F40" s="35"/>
    </row>
    <row r="41" spans="2:6" s="1" customFormat="1" ht="30" customHeight="1" x14ac:dyDescent="0.35">
      <c r="B41" s="25" t="s">
        <v>35</v>
      </c>
      <c r="C41" s="34">
        <v>46303</v>
      </c>
      <c r="D41" s="34">
        <v>46320</v>
      </c>
      <c r="E41" s="35">
        <v>0</v>
      </c>
      <c r="F41" s="35"/>
    </row>
    <row r="42" spans="2:6" s="1" customFormat="1" ht="30" customHeight="1" x14ac:dyDescent="0.35">
      <c r="B42" s="25" t="s">
        <v>38</v>
      </c>
      <c r="C42" s="34">
        <v>46309</v>
      </c>
      <c r="D42" s="34">
        <v>46320</v>
      </c>
      <c r="E42" s="35">
        <v>0</v>
      </c>
      <c r="F42" s="35"/>
    </row>
    <row r="43" spans="2:6" s="1" customFormat="1" ht="30" customHeight="1" x14ac:dyDescent="0.35">
      <c r="B43" s="25" t="s">
        <v>41</v>
      </c>
      <c r="C43" s="34">
        <v>46305</v>
      </c>
      <c r="D43" s="34">
        <v>46320</v>
      </c>
      <c r="E43" s="35">
        <v>0</v>
      </c>
      <c r="F43" s="35"/>
    </row>
    <row r="44" spans="2:6" s="1" customFormat="1" ht="30" customHeight="1" x14ac:dyDescent="0.35">
      <c r="B44" s="25" t="s">
        <v>42</v>
      </c>
      <c r="C44" s="34" t="s">
        <v>289</v>
      </c>
      <c r="D44" s="34">
        <v>46320</v>
      </c>
      <c r="E44" s="35">
        <v>0</v>
      </c>
      <c r="F44" s="35"/>
    </row>
    <row r="45" spans="2:6" s="1" customFormat="1" ht="30" customHeight="1" x14ac:dyDescent="0.35">
      <c r="B45" s="16" t="s">
        <v>86</v>
      </c>
      <c r="C45" s="52"/>
      <c r="D45" s="52"/>
      <c r="E45" s="18"/>
      <c r="F45" s="18"/>
    </row>
    <row r="46" spans="2:6" s="1" customFormat="1" ht="30" customHeight="1" x14ac:dyDescent="0.35">
      <c r="B46" s="25" t="s">
        <v>33</v>
      </c>
      <c r="C46" s="34">
        <v>46315</v>
      </c>
      <c r="D46" s="34">
        <v>46331</v>
      </c>
      <c r="E46" s="35">
        <v>0</v>
      </c>
      <c r="F46" s="35"/>
    </row>
    <row r="47" spans="2:6" s="1" customFormat="1" ht="30" customHeight="1" x14ac:dyDescent="0.35">
      <c r="B47" s="25" t="s">
        <v>35</v>
      </c>
      <c r="C47" s="34">
        <v>46305</v>
      </c>
      <c r="D47" s="34">
        <v>46323</v>
      </c>
      <c r="E47" s="35">
        <v>0</v>
      </c>
      <c r="F47" s="35"/>
    </row>
    <row r="48" spans="2:6" s="1" customFormat="1" ht="30" customHeight="1" x14ac:dyDescent="0.35">
      <c r="B48" s="25" t="s">
        <v>38</v>
      </c>
      <c r="C48" s="34">
        <v>46314</v>
      </c>
      <c r="D48" s="34">
        <v>46330</v>
      </c>
      <c r="E48" s="35">
        <v>0</v>
      </c>
      <c r="F48" s="35"/>
    </row>
    <row r="49" spans="2:6" s="1" customFormat="1" ht="30" customHeight="1" x14ac:dyDescent="0.35">
      <c r="B49" s="25" t="s">
        <v>41</v>
      </c>
      <c r="C49" s="34">
        <v>46310</v>
      </c>
      <c r="D49" s="34">
        <v>46320</v>
      </c>
      <c r="E49" s="35">
        <v>0</v>
      </c>
      <c r="F49" s="35"/>
    </row>
    <row r="50" spans="2:6" s="1" customFormat="1" ht="30" customHeight="1" x14ac:dyDescent="0.35">
      <c r="B50" s="25" t="s">
        <v>42</v>
      </c>
      <c r="C50" s="34" t="s">
        <v>290</v>
      </c>
      <c r="D50" s="34">
        <v>46325</v>
      </c>
      <c r="E50" s="35">
        <v>0</v>
      </c>
      <c r="F50" s="35"/>
    </row>
    <row r="51" spans="2:6" s="1" customFormat="1" ht="30" customHeight="1" x14ac:dyDescent="0.35">
      <c r="B51" s="16" t="s">
        <v>90</v>
      </c>
      <c r="C51" s="52"/>
      <c r="D51" s="52"/>
      <c r="E51" s="18"/>
      <c r="F51" s="18"/>
    </row>
    <row r="52" spans="2:6" s="1" customFormat="1" ht="30" customHeight="1" x14ac:dyDescent="0.35">
      <c r="B52" s="25" t="s">
        <v>93</v>
      </c>
      <c r="C52" s="34">
        <v>46311</v>
      </c>
      <c r="D52" s="34">
        <v>46324</v>
      </c>
      <c r="E52" s="35">
        <v>0</v>
      </c>
      <c r="F52" s="35"/>
    </row>
    <row r="53" spans="2:6" s="1" customFormat="1" ht="30" customHeight="1" x14ac:dyDescent="0.35">
      <c r="B53" s="25" t="s">
        <v>94</v>
      </c>
      <c r="C53" s="34">
        <v>46317</v>
      </c>
      <c r="D53" s="34">
        <v>46329</v>
      </c>
      <c r="E53" s="35">
        <v>0</v>
      </c>
      <c r="F53" s="35"/>
    </row>
    <row r="54" spans="2:6" s="1" customFormat="1" ht="30" customHeight="1" x14ac:dyDescent="0.35">
      <c r="B54" s="25" t="s">
        <v>95</v>
      </c>
      <c r="C54" s="34">
        <v>46313</v>
      </c>
      <c r="D54" s="34">
        <v>46320</v>
      </c>
      <c r="E54" s="35">
        <v>0</v>
      </c>
      <c r="F54" s="35"/>
    </row>
  </sheetData>
  <mergeCells count="6">
    <mergeCell ref="M2:O2"/>
    <mergeCell ref="B3:B4"/>
    <mergeCell ref="C3:C4"/>
    <mergeCell ref="D3:D4"/>
    <mergeCell ref="E3:E4"/>
    <mergeCell ref="F3:F4"/>
  </mergeCells>
  <conditionalFormatting sqref="G7:V10 G8:W54">
    <cfRule type="expression" dxfId="997" priority="4">
      <formula>AND($C7&lt;&gt;"",$D7&lt;&gt;"",$C7&lt;=EOMONTH(G$4,0),$D7&gt;=G$4)</formula>
    </cfRule>
    <cfRule type="expression" dxfId="996" priority="15">
      <formula>AND($C7&lt;&gt;"",$D7&lt;&gt;"",$E7&lt;&gt;"",$C7&lt;=EOMONTH(G$4,0),($C7+(($D7-$C7)*$E7))&gt;=G$4)</formula>
    </cfRule>
    <cfRule type="expression" dxfId="995" priority="16">
      <formula>AND($C7&lt;&gt;"",$D7&lt;&gt;"",$C7&lt;=EOMONTH(G$4,0),$D7&gt;=G$4)</formula>
    </cfRule>
  </conditionalFormatting>
  <conditionalFormatting sqref="G8:V10 G11:AA36 G37:V103">
    <cfRule type="expression" dxfId="994" priority="17">
      <formula>AND($C8&lt;&gt;"",$D8&lt;&gt;"",$E8&lt;&gt;"",$C8&lt;=EOMONTH(G$4,0),($C8+(($D8-$C8)*$E8))&gt;=G$4)</formula>
    </cfRule>
    <cfRule type="expression" dxfId="993" priority="18">
      <formula>AND($C8&lt;&gt;"",$D8&lt;&gt;"",$C8&lt;=EOMONTH(G$4,0),$D8&gt;=G$4)</formula>
    </cfRule>
  </conditionalFormatting>
  <conditionalFormatting sqref="G4:W5">
    <cfRule type="expression" dxfId="992" priority="24">
      <formula>G$4=period_selected</formula>
    </cfRule>
  </conditionalFormatting>
  <conditionalFormatting sqref="G5:W5">
    <cfRule type="expression" dxfId="991" priority="27">
      <formula>AND(G$4&gt;=#REF!,G$4&lt;=$D5)</formula>
    </cfRule>
  </conditionalFormatting>
  <conditionalFormatting sqref="G6:W103 G11:AA36">
    <cfRule type="expression" dxfId="990" priority="19">
      <formula>PercentCompleteBeyond</formula>
    </cfRule>
    <cfRule type="expression" dxfId="989" priority="20">
      <formula>Actual</formula>
    </cfRule>
    <cfRule type="expression" dxfId="988" priority="21">
      <formula>ActualBeyond</formula>
    </cfRule>
    <cfRule type="expression" dxfId="987" priority="22">
      <formula>Plan</formula>
    </cfRule>
    <cfRule type="expression" dxfId="986" priority="23">
      <formula>G$4=period_selected</formula>
    </cfRule>
    <cfRule type="expression" dxfId="985" priority="25">
      <formula>MOD(COLUMN(),2)</formula>
    </cfRule>
    <cfRule type="expression" dxfId="984" priority="26">
      <formula>MOD(COLUMN(),2)=0</formula>
    </cfRule>
  </conditionalFormatting>
  <conditionalFormatting sqref="G7:W92">
    <cfRule type="expression" dxfId="983" priority="12">
      <formula>AND($C7&lt;&gt;"",$D7&lt;&gt;"",$E7&gt;0,$C7&lt;=EOMONTH(G$4,0),($C7+(($D7-$C7)*$E7))&gt;=G$4)</formula>
    </cfRule>
  </conditionalFormatting>
  <conditionalFormatting sqref="G8:W54 G7:V10">
    <cfRule type="expression" dxfId="982" priority="3">
      <formula>AND($C7&lt;&gt;"",$D7&lt;&gt;"",$E7&gt;0,$C7&lt;=EOMONTH(G$4,0),($C7+(($D7-$C7)*$E7))&gt;=G$4)</formula>
    </cfRule>
  </conditionalFormatting>
  <conditionalFormatting sqref="G11:AA36">
    <cfRule type="expression" dxfId="981" priority="1">
      <formula>AND($C11&lt;&gt;"",$D11&lt;&gt;"",$E11&gt;0,$C11&lt;=EOMONTH(G$4,0),($C11+(($D11-$C11)*$E11))&gt;=G$4)</formula>
    </cfRule>
    <cfRule type="expression" dxfId="980" priority="2">
      <formula>AND($C11&lt;&gt;"",$D11&lt;&gt;"",$C11&lt;=EOMONTH(G$4,0),$D11&gt;=G$4)</formula>
    </cfRule>
  </conditionalFormatting>
  <dataValidations count="11"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G2" xr:uid="{B229AEB9-DF84-4EE7-8A1D-48B08C21B724}">
      <formula1>$G$4:$W$4</formula1>
    </dataValidation>
    <dataValidation allowBlank="1" showInputMessage="1" showErrorMessage="1" prompt="Select a period to highlight in H2. A Chart legend is in J2 to AI2" sqref="B2:E2" xr:uid="{82A25CDC-A839-40C7-97BC-AD344CCED2E2}"/>
    <dataValidation allowBlank="1" showInputMessage="1" showErrorMessage="1" prompt="Enter actual duration period in column F, starting with cell F5" sqref="D3:E5" xr:uid="{881EC272-8852-434A-9FF2-20C0D87D546C}"/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" xr:uid="{4DC11C04-0D74-436A-AF21-C1B65E70B1CB}"/>
    <dataValidation allowBlank="1" showInputMessage="1" showErrorMessage="1" prompt="This legend cell indicates plan duration" sqref="I2" xr:uid="{5D0F6E8B-33B7-4A1E-8CEA-F969CDB3A345}"/>
    <dataValidation allowBlank="1" showInputMessage="1" showErrorMessage="1" prompt="This legend cell indicates the percentage of project completed" sqref="T2" xr:uid="{580ABBAC-B490-4CC1-9807-73DCF9A68373}"/>
    <dataValidation allowBlank="1" showInputMessage="1" showErrorMessage="1" prompt="Periods are charted from 1 to 60 starting from cell H4 to cell BO4 " sqref="G3" xr:uid="{FE96F598-8D4D-4FFD-ACC7-E88D8510D265}"/>
    <dataValidation allowBlank="1" showInputMessage="1" showErrorMessage="1" prompt="Enter activity in column B, starting with cell B5_x000a_" sqref="B3:B5" xr:uid="{4487928B-1692-45A9-8D57-5C5AE30F2AD7}"/>
    <dataValidation allowBlank="1" showInputMessage="1" showErrorMessage="1" prompt="Enter plan start period in column C, starting with cell C5" sqref="C3:C5" xr:uid="{6D25A2D9-E18D-4F47-B8BD-C2A56B9921F5}"/>
    <dataValidation allowBlank="1" showInputMessage="1" showErrorMessage="1" prompt="Enter the percentage of project completed in column G, starting with cell G5" sqref="E3:E5" xr:uid="{BEBEA2B4-F37B-495D-98C5-993356D1A340}"/>
    <dataValidation allowBlank="1" showInputMessage="1" showErrorMessage="1" prompt="Title of the project. Enter a new title in this cell. Highlight a period in H2. Chart legend is in J2 to AI2" sqref="B1" xr:uid="{6957236D-1C7F-4F58-921B-BF79223F07EE}"/>
  </dataValidations>
  <printOptions horizontalCentered="1"/>
  <pageMargins left="0.45" right="0.45" top="0.5" bottom="0.5" header="0.3" footer="0.3"/>
  <pageSetup paperSize="8" scale="75" fitToHeight="0" orientation="landscape" r:id="rId1"/>
  <headerFooter differentFirst="1">
    <oddFooter>&amp;L_x000D_&amp;1#&amp;"Aptos"&amp;8&amp;K000000 Sensitivity: LNT Construction Internal Use</oddFooter>
    <firstFooter>&amp;L_x000D_&amp;1#&amp;"Aptos"&amp;8&amp;K000000 Sensitivity: LNT Construction Internal Use</first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C3755-3B7B-47B3-AD82-040D76F32FF7}">
  <sheetPr>
    <tabColor rgb="FFD0D55E"/>
    <pageSetUpPr fitToPage="1"/>
  </sheetPr>
  <dimension ref="B1:AC106"/>
  <sheetViews>
    <sheetView showGridLines="0" zoomScale="62" zoomScaleNormal="70" zoomScaleSheetLayoutView="80" workbookViewId="0">
      <pane xSplit="6" ySplit="4" topLeftCell="G5" activePane="bottomRight" state="frozen"/>
      <selection pane="topRight" activeCell="I1" sqref="I1"/>
      <selection pane="bottomLeft" activeCell="A5" sqref="A5"/>
      <selection pane="bottomRight" activeCell="F17" sqref="F17"/>
    </sheetView>
  </sheetViews>
  <sheetFormatPr defaultColWidth="2.75" defaultRowHeight="30" customHeight="1" x14ac:dyDescent="0.4"/>
  <cols>
    <col min="1" max="1" width="2.58203125" customWidth="1"/>
    <col min="2" max="2" width="27.33203125" style="2" customWidth="1"/>
    <col min="3" max="3" width="15.33203125" style="1" customWidth="1"/>
    <col min="4" max="4" width="13.33203125" customWidth="1"/>
    <col min="5" max="5" width="15.58203125" style="3" customWidth="1"/>
    <col min="6" max="6" width="33.08203125" style="3" customWidth="1"/>
    <col min="7" max="7" width="8.58203125" style="1" bestFit="1" customWidth="1"/>
    <col min="8" max="10" width="8.25" style="1" bestFit="1" customWidth="1"/>
    <col min="11" max="11" width="8.58203125" style="1" bestFit="1" customWidth="1"/>
    <col min="12" max="12" width="8.25" style="1" bestFit="1" customWidth="1"/>
    <col min="13" max="13" width="8.58203125" style="1" bestFit="1" customWidth="1"/>
    <col min="14" max="14" width="8.25" style="1" bestFit="1" customWidth="1"/>
    <col min="15" max="15" width="8.58203125" style="1" bestFit="1" customWidth="1"/>
    <col min="16" max="23" width="9.5" style="1" bestFit="1" customWidth="1"/>
  </cols>
  <sheetData>
    <row r="1" spans="2:29" ht="30.75" customHeight="1" x14ac:dyDescent="1.2">
      <c r="B1" s="47" t="s">
        <v>284</v>
      </c>
      <c r="C1" s="48"/>
      <c r="D1" s="49"/>
      <c r="E1" s="48"/>
      <c r="F1" s="48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5"/>
      <c r="U1" s="45"/>
      <c r="V1" s="45"/>
      <c r="W1" s="46"/>
      <c r="X1" s="21"/>
      <c r="Y1" s="14"/>
      <c r="Z1" s="14"/>
      <c r="AA1" s="14"/>
      <c r="AB1" s="14"/>
      <c r="AC1" s="14"/>
    </row>
    <row r="2" spans="2:29" ht="32" x14ac:dyDescent="0.4">
      <c r="B2" s="37"/>
      <c r="C2" s="37"/>
      <c r="D2" s="37"/>
      <c r="E2" s="38" t="s">
        <v>2</v>
      </c>
      <c r="F2" s="38"/>
      <c r="G2" s="39">
        <v>46266</v>
      </c>
      <c r="H2" s="40"/>
      <c r="I2" s="41"/>
      <c r="J2" s="42" t="s">
        <v>5</v>
      </c>
      <c r="K2" s="42"/>
      <c r="L2" s="43"/>
      <c r="M2" s="261" t="s">
        <v>32</v>
      </c>
      <c r="N2" s="261"/>
      <c r="O2" s="261"/>
      <c r="P2" s="21"/>
      <c r="Q2" s="21"/>
      <c r="R2" s="21"/>
      <c r="S2" s="21"/>
      <c r="T2" s="21"/>
      <c r="U2" s="21"/>
      <c r="V2" s="21"/>
      <c r="W2" s="21"/>
      <c r="X2" s="21"/>
      <c r="Y2" s="14"/>
      <c r="Z2" s="14"/>
      <c r="AA2" s="14"/>
      <c r="AB2" s="14"/>
      <c r="AC2" s="14"/>
    </row>
    <row r="3" spans="2:29" s="11" customFormat="1" ht="16" x14ac:dyDescent="0.4">
      <c r="B3" s="247" t="s">
        <v>1</v>
      </c>
      <c r="C3" s="248" t="s">
        <v>3</v>
      </c>
      <c r="D3" s="248" t="s">
        <v>31</v>
      </c>
      <c r="E3" s="248" t="s">
        <v>4</v>
      </c>
      <c r="F3" s="248" t="s">
        <v>97</v>
      </c>
      <c r="G3" s="12" t="s">
        <v>0</v>
      </c>
      <c r="H3" s="13"/>
      <c r="I3" s="24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</row>
    <row r="4" spans="2:29" ht="38.15" customHeight="1" x14ac:dyDescent="0.35">
      <c r="B4" s="247"/>
      <c r="C4" s="248"/>
      <c r="D4" s="248"/>
      <c r="E4" s="248"/>
      <c r="F4" s="248"/>
      <c r="G4" s="22">
        <v>45901</v>
      </c>
      <c r="H4" s="22">
        <f>EDATE(G4,1)</f>
        <v>45931</v>
      </c>
      <c r="I4" s="22">
        <f t="shared" ref="I4:V4" si="0">EDATE(H4,1)</f>
        <v>45962</v>
      </c>
      <c r="J4" s="22">
        <f t="shared" si="0"/>
        <v>45992</v>
      </c>
      <c r="K4" s="22">
        <f t="shared" si="0"/>
        <v>46023</v>
      </c>
      <c r="L4" s="22">
        <f t="shared" si="0"/>
        <v>46054</v>
      </c>
      <c r="M4" s="22">
        <f t="shared" si="0"/>
        <v>46082</v>
      </c>
      <c r="N4" s="22">
        <f t="shared" si="0"/>
        <v>46113</v>
      </c>
      <c r="O4" s="22">
        <f t="shared" si="0"/>
        <v>46143</v>
      </c>
      <c r="P4" s="22">
        <f t="shared" si="0"/>
        <v>46174</v>
      </c>
      <c r="Q4" s="22">
        <f t="shared" si="0"/>
        <v>46204</v>
      </c>
      <c r="R4" s="22">
        <f t="shared" si="0"/>
        <v>46235</v>
      </c>
      <c r="S4" s="22">
        <f t="shared" si="0"/>
        <v>46266</v>
      </c>
      <c r="T4" s="22">
        <f t="shared" si="0"/>
        <v>46296</v>
      </c>
      <c r="U4" s="22">
        <f t="shared" si="0"/>
        <v>46327</v>
      </c>
      <c r="V4" s="22">
        <f t="shared" si="0"/>
        <v>46357</v>
      </c>
      <c r="W4" s="23"/>
    </row>
    <row r="5" spans="2:29" ht="23" x14ac:dyDescent="0.35">
      <c r="B5" s="8" t="s">
        <v>6</v>
      </c>
      <c r="C5" s="7"/>
      <c r="D5" s="19"/>
      <c r="E5" s="15">
        <v>1</v>
      </c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2:29" ht="30" customHeight="1" x14ac:dyDescent="0.35">
      <c r="B6" s="4" t="s">
        <v>7</v>
      </c>
      <c r="C6" s="5"/>
      <c r="D6" s="5"/>
      <c r="E6" s="6"/>
      <c r="F6" s="6"/>
    </row>
    <row r="7" spans="2:29" ht="42" customHeight="1" x14ac:dyDescent="0.35">
      <c r="B7" s="25" t="s">
        <v>8</v>
      </c>
      <c r="C7" s="34">
        <v>46181</v>
      </c>
      <c r="D7" s="34">
        <v>46310</v>
      </c>
      <c r="E7" s="35">
        <f>'UGF backup'!E4/'UGF backup'!D4</f>
        <v>0.98662207357859533</v>
      </c>
      <c r="F7" s="35"/>
    </row>
    <row r="8" spans="2:29" ht="30" customHeight="1" x14ac:dyDescent="0.35">
      <c r="B8" s="25" t="s">
        <v>9</v>
      </c>
      <c r="C8" s="34">
        <v>46222</v>
      </c>
      <c r="D8" s="34">
        <v>46315</v>
      </c>
      <c r="E8" s="35">
        <f>('UG MALE backup'!E5+'UG MALE backup'!E7)/('UG MALE backup'!D5+'UG MALE backup'!D7)</f>
        <v>0.35488003726997436</v>
      </c>
      <c r="F8" s="35"/>
    </row>
    <row r="9" spans="2:29" ht="30" customHeight="1" x14ac:dyDescent="0.35">
      <c r="B9" s="25" t="s">
        <v>74</v>
      </c>
      <c r="C9" s="34">
        <v>46277</v>
      </c>
      <c r="D9" s="34">
        <v>46305</v>
      </c>
      <c r="E9" s="35">
        <f>'UG MALE backup'!E24/'UG MALE backup'!D24</f>
        <v>0</v>
      </c>
      <c r="F9" s="35"/>
    </row>
    <row r="10" spans="2:29" ht="18.5" x14ac:dyDescent="0.35">
      <c r="B10" s="25" t="s">
        <v>10</v>
      </c>
      <c r="C10" s="34">
        <v>46296</v>
      </c>
      <c r="D10" s="34">
        <v>46305</v>
      </c>
      <c r="E10" s="35">
        <f>'UG MALE backup'!E27/'UG MALE backup'!D27</f>
        <v>0.46153846153846156</v>
      </c>
      <c r="F10" s="35"/>
      <c r="W10"/>
    </row>
    <row r="11" spans="2:29" ht="18.5" x14ac:dyDescent="0.35">
      <c r="B11" s="25" t="s">
        <v>75</v>
      </c>
      <c r="C11" s="34">
        <v>46242</v>
      </c>
      <c r="D11" s="34">
        <v>46310</v>
      </c>
      <c r="E11" s="35">
        <v>0.75</v>
      </c>
      <c r="F11" s="35"/>
      <c r="W11"/>
    </row>
    <row r="12" spans="2:29" ht="18.5" x14ac:dyDescent="0.35">
      <c r="B12" s="25" t="s">
        <v>11</v>
      </c>
      <c r="C12" s="34">
        <v>46285</v>
      </c>
      <c r="D12" s="34">
        <v>46315</v>
      </c>
      <c r="E12" s="35">
        <v>0</v>
      </c>
      <c r="F12" s="35"/>
      <c r="X12" s="1"/>
      <c r="Y12" s="1"/>
      <c r="Z12" s="1"/>
      <c r="AA12" s="1"/>
    </row>
    <row r="13" spans="2:29" ht="30" hidden="1" customHeight="1" x14ac:dyDescent="0.35">
      <c r="B13" s="25" t="s">
        <v>76</v>
      </c>
      <c r="C13" s="34">
        <v>46211</v>
      </c>
      <c r="D13" s="34">
        <f>VLOOKUP(B13,[2]OPD!$B$1:$D$111,3,FALSE)</f>
        <v>46310</v>
      </c>
      <c r="E13" s="35">
        <v>0.2</v>
      </c>
      <c r="F13" s="35"/>
      <c r="X13" s="1"/>
      <c r="Y13" s="1"/>
      <c r="Z13" s="1"/>
      <c r="AA13" s="1"/>
    </row>
    <row r="14" spans="2:29" ht="30" hidden="1" customHeight="1" x14ac:dyDescent="0.35">
      <c r="B14" s="25" t="s">
        <v>77</v>
      </c>
      <c r="C14" s="34">
        <f>C13+25</f>
        <v>46236</v>
      </c>
      <c r="D14" s="34">
        <f>VLOOKUP(B14,[2]OPD!$B$1:$D$111,3,FALSE)</f>
        <v>46323</v>
      </c>
      <c r="E14" s="35">
        <v>0</v>
      </c>
      <c r="F14" s="35"/>
      <c r="X14" s="1"/>
      <c r="Y14" s="1"/>
      <c r="Z14" s="1"/>
      <c r="AA14" s="1"/>
    </row>
    <row r="15" spans="2:29" ht="30" hidden="1" customHeight="1" x14ac:dyDescent="0.35">
      <c r="B15" s="25" t="s">
        <v>78</v>
      </c>
      <c r="C15" s="34">
        <f t="shared" ref="C15:C16" si="1">C14+25</f>
        <v>46261</v>
      </c>
      <c r="D15" s="34">
        <f>VLOOKUP(B15,[2]OPD!$B$1:$D$111,3,FALSE)</f>
        <v>46346</v>
      </c>
      <c r="E15" s="35">
        <v>0</v>
      </c>
      <c r="F15" s="35"/>
      <c r="X15" s="1"/>
      <c r="Y15" s="1"/>
      <c r="Z15" s="1"/>
      <c r="AA15" s="1"/>
    </row>
    <row r="16" spans="2:29" ht="30" hidden="1" customHeight="1" x14ac:dyDescent="0.35">
      <c r="B16" s="25" t="s">
        <v>79</v>
      </c>
      <c r="C16" s="34">
        <f t="shared" si="1"/>
        <v>46286</v>
      </c>
      <c r="D16" s="34">
        <f>VLOOKUP(B16,[2]OPD!$B$1:$D$111,3,FALSE)</f>
        <v>46371</v>
      </c>
      <c r="E16" s="35">
        <v>0</v>
      </c>
      <c r="F16" s="35"/>
      <c r="X16" s="1"/>
      <c r="Y16" s="1"/>
      <c r="Z16" s="1"/>
      <c r="AA16" s="1"/>
    </row>
    <row r="17" spans="2:6" ht="30" customHeight="1" x14ac:dyDescent="0.35">
      <c r="B17" s="25" t="s">
        <v>13</v>
      </c>
      <c r="C17" s="34">
        <v>46285</v>
      </c>
      <c r="D17" s="34">
        <v>46320</v>
      </c>
      <c r="E17" s="35">
        <v>0.05</v>
      </c>
      <c r="F17" s="35"/>
    </row>
    <row r="18" spans="2:6" ht="30" customHeight="1" x14ac:dyDescent="0.35">
      <c r="B18" s="16" t="s">
        <v>14</v>
      </c>
      <c r="C18" s="17"/>
      <c r="D18" s="17"/>
      <c r="E18" s="18"/>
      <c r="F18" s="18"/>
    </row>
    <row r="19" spans="2:6" ht="30" customHeight="1" x14ac:dyDescent="0.35">
      <c r="B19" s="25" t="s">
        <v>15</v>
      </c>
      <c r="C19" s="34">
        <v>46262</v>
      </c>
      <c r="D19" s="34">
        <v>46301</v>
      </c>
      <c r="E19" s="35">
        <f>'UG MALE backup'!E48/'UG MALE backup'!D48</f>
        <v>0</v>
      </c>
      <c r="F19" s="35"/>
    </row>
    <row r="20" spans="2:6" ht="30" customHeight="1" x14ac:dyDescent="0.35">
      <c r="B20" s="25" t="s">
        <v>98</v>
      </c>
      <c r="C20" s="34">
        <f>MIN(C21:C24)</f>
        <v>46101</v>
      </c>
      <c r="D20" s="34">
        <f>MAX(D21:D24)</f>
        <v>46325</v>
      </c>
      <c r="E20" s="35">
        <f>AVERAGE(E21:E24)</f>
        <v>0.59250000000000003</v>
      </c>
      <c r="F20" s="35"/>
    </row>
    <row r="21" spans="2:6" ht="30" hidden="1" customHeight="1" x14ac:dyDescent="0.35">
      <c r="B21" s="25" t="s">
        <v>20</v>
      </c>
      <c r="C21" s="34">
        <v>46101</v>
      </c>
      <c r="D21" s="34">
        <v>46264</v>
      </c>
      <c r="E21" s="35">
        <v>1</v>
      </c>
      <c r="F21" s="35"/>
    </row>
    <row r="22" spans="2:6" ht="30" hidden="1" customHeight="1" x14ac:dyDescent="0.35">
      <c r="B22" s="25" t="s">
        <v>21</v>
      </c>
      <c r="C22" s="34">
        <v>46183</v>
      </c>
      <c r="D22" s="34">
        <v>46305</v>
      </c>
      <c r="E22" s="35">
        <v>0.92</v>
      </c>
      <c r="F22" s="35"/>
    </row>
    <row r="23" spans="2:6" ht="30" hidden="1" customHeight="1" x14ac:dyDescent="0.35">
      <c r="B23" s="25" t="s">
        <v>22</v>
      </c>
      <c r="C23" s="34">
        <v>46167</v>
      </c>
      <c r="D23" s="34">
        <f>VLOOKUP(B23,[2]OPD!$B$1:$D$111,3,FALSE)</f>
        <v>46295</v>
      </c>
      <c r="E23" s="35">
        <v>0.45</v>
      </c>
      <c r="F23" s="35"/>
    </row>
    <row r="24" spans="2:6" ht="30" hidden="1" customHeight="1" x14ac:dyDescent="0.35">
      <c r="B24" s="25" t="s">
        <v>23</v>
      </c>
      <c r="C24" s="34">
        <v>46193</v>
      </c>
      <c r="D24" s="34">
        <f>VLOOKUP(B24,[2]OPD!$B$1:$D$111,3,FALSE)</f>
        <v>46325</v>
      </c>
      <c r="E24" s="35">
        <v>0</v>
      </c>
      <c r="F24" s="35"/>
    </row>
    <row r="25" spans="2:6" ht="30" hidden="1" customHeight="1" x14ac:dyDescent="0.35">
      <c r="B25" s="25" t="s">
        <v>20</v>
      </c>
      <c r="C25" s="36">
        <v>46301</v>
      </c>
      <c r="D25" s="36">
        <f>VLOOKUP(B25,[2]OPD!$B$1:$D$111,3,FALSE)</f>
        <v>46310</v>
      </c>
      <c r="E25" s="35">
        <v>0</v>
      </c>
      <c r="F25" s="35"/>
    </row>
    <row r="26" spans="2:6" ht="30" hidden="1" customHeight="1" x14ac:dyDescent="0.35">
      <c r="B26" s="25" t="s">
        <v>21</v>
      </c>
      <c r="C26" s="36">
        <v>46285</v>
      </c>
      <c r="D26" s="36">
        <f>VLOOKUP(B26,[2]OPD!$B$1:$D$111,3,FALSE)</f>
        <v>46305</v>
      </c>
      <c r="E26" s="35">
        <v>0</v>
      </c>
      <c r="F26" s="35"/>
    </row>
    <row r="27" spans="2:6" ht="30" hidden="1" customHeight="1" x14ac:dyDescent="0.35">
      <c r="B27" s="25" t="s">
        <v>22</v>
      </c>
      <c r="C27" s="36">
        <v>46311</v>
      </c>
      <c r="D27" s="36">
        <v>46325</v>
      </c>
      <c r="E27" s="35">
        <v>0</v>
      </c>
      <c r="F27" s="35"/>
    </row>
    <row r="28" spans="2:6" ht="30" hidden="1" customHeight="1" x14ac:dyDescent="0.35">
      <c r="B28" s="25" t="s">
        <v>23</v>
      </c>
      <c r="C28" s="36">
        <v>46327</v>
      </c>
      <c r="D28" s="36">
        <v>46341</v>
      </c>
      <c r="E28" s="35">
        <v>0</v>
      </c>
      <c r="F28" s="35"/>
    </row>
    <row r="29" spans="2:6" ht="30" hidden="1" customHeight="1" x14ac:dyDescent="0.35">
      <c r="B29" s="25" t="s">
        <v>20</v>
      </c>
      <c r="C29" s="36">
        <f>C25+5</f>
        <v>46306</v>
      </c>
      <c r="D29" s="36">
        <v>46315</v>
      </c>
      <c r="E29" s="35">
        <v>0</v>
      </c>
      <c r="F29" s="35"/>
    </row>
    <row r="30" spans="2:6" ht="30" hidden="1" customHeight="1" x14ac:dyDescent="0.35">
      <c r="B30" s="25" t="s">
        <v>21</v>
      </c>
      <c r="C30" s="36">
        <f>C26+5</f>
        <v>46290</v>
      </c>
      <c r="D30" s="36">
        <v>46331</v>
      </c>
      <c r="E30" s="35">
        <v>0</v>
      </c>
      <c r="F30" s="35"/>
    </row>
    <row r="31" spans="2:6" ht="30" hidden="1" customHeight="1" x14ac:dyDescent="0.35">
      <c r="B31" s="25" t="s">
        <v>22</v>
      </c>
      <c r="C31" s="36">
        <f>C27+5</f>
        <v>46316</v>
      </c>
      <c r="D31" s="36">
        <v>46348</v>
      </c>
      <c r="E31" s="35">
        <v>0</v>
      </c>
      <c r="F31" s="35"/>
    </row>
    <row r="32" spans="2:6" ht="30" hidden="1" customHeight="1" x14ac:dyDescent="0.35">
      <c r="B32" s="25" t="s">
        <v>23</v>
      </c>
      <c r="C32" s="36">
        <f>C28+5</f>
        <v>46332</v>
      </c>
      <c r="D32" s="36">
        <v>46361</v>
      </c>
      <c r="E32" s="35">
        <v>0</v>
      </c>
      <c r="F32" s="35"/>
    </row>
    <row r="33" spans="2:6" ht="30" customHeight="1" x14ac:dyDescent="0.35">
      <c r="B33" s="26" t="s">
        <v>82</v>
      </c>
      <c r="C33" s="27"/>
      <c r="D33" s="27"/>
      <c r="E33" s="28"/>
      <c r="F33" s="28"/>
    </row>
    <row r="34" spans="2:6" ht="30" customHeight="1" x14ac:dyDescent="0.35">
      <c r="B34" s="16" t="s">
        <v>83</v>
      </c>
      <c r="C34" s="17"/>
      <c r="D34" s="17"/>
      <c r="E34" s="18"/>
      <c r="F34" s="18"/>
    </row>
    <row r="35" spans="2:6" ht="30" customHeight="1" x14ac:dyDescent="0.35">
      <c r="B35" s="29" t="s">
        <v>33</v>
      </c>
      <c r="C35" s="30"/>
      <c r="D35" s="30"/>
      <c r="E35" s="31"/>
      <c r="F35" s="31"/>
    </row>
    <row r="36" spans="2:6" ht="30" customHeight="1" x14ac:dyDescent="0.35">
      <c r="B36" s="25" t="s">
        <v>34</v>
      </c>
      <c r="C36" s="50"/>
      <c r="D36" s="50"/>
      <c r="E36" s="35"/>
      <c r="F36" s="35"/>
    </row>
    <row r="37" spans="2:6" ht="30" customHeight="1" x14ac:dyDescent="0.35">
      <c r="B37" s="29" t="s">
        <v>35</v>
      </c>
      <c r="C37" s="30"/>
      <c r="D37" s="30"/>
      <c r="E37" s="31"/>
      <c r="F37" s="31"/>
    </row>
    <row r="38" spans="2:6" ht="30" customHeight="1" x14ac:dyDescent="0.35">
      <c r="B38" s="25" t="s">
        <v>36</v>
      </c>
      <c r="C38" s="50"/>
      <c r="D38" s="50"/>
      <c r="E38" s="35"/>
      <c r="F38" s="35"/>
    </row>
    <row r="39" spans="2:6" ht="30" customHeight="1" x14ac:dyDescent="0.35">
      <c r="B39" s="25" t="s">
        <v>37</v>
      </c>
      <c r="C39" s="50"/>
      <c r="D39" s="50"/>
      <c r="E39" s="35"/>
      <c r="F39" s="35"/>
    </row>
    <row r="40" spans="2:6" s="1" customFormat="1" ht="30" customHeight="1" x14ac:dyDescent="0.35">
      <c r="B40" s="29" t="s">
        <v>38</v>
      </c>
      <c r="C40" s="30"/>
      <c r="D40" s="30"/>
      <c r="E40" s="31"/>
      <c r="F40" s="31"/>
    </row>
    <row r="41" spans="2:6" s="1" customFormat="1" ht="30" customHeight="1" x14ac:dyDescent="0.35">
      <c r="B41" s="25" t="s">
        <v>39</v>
      </c>
      <c r="C41" s="50"/>
      <c r="D41" s="50"/>
      <c r="E41" s="35"/>
      <c r="F41" s="35"/>
    </row>
    <row r="42" spans="2:6" s="1" customFormat="1" ht="30" customHeight="1" x14ac:dyDescent="0.35">
      <c r="B42" s="29" t="s">
        <v>41</v>
      </c>
      <c r="C42" s="30"/>
      <c r="D42" s="30"/>
      <c r="E42" s="31"/>
      <c r="F42" s="31"/>
    </row>
    <row r="43" spans="2:6" s="1" customFormat="1" ht="30" customHeight="1" x14ac:dyDescent="0.35">
      <c r="B43" s="25" t="s">
        <v>40</v>
      </c>
      <c r="C43" s="50"/>
      <c r="D43" s="50"/>
      <c r="E43" s="35"/>
      <c r="F43" s="35"/>
    </row>
    <row r="44" spans="2:6" s="1" customFormat="1" ht="30" customHeight="1" x14ac:dyDescent="0.35">
      <c r="B44" s="29" t="s">
        <v>43</v>
      </c>
      <c r="C44" s="30"/>
      <c r="D44" s="30"/>
      <c r="E44" s="31"/>
      <c r="F44" s="31"/>
    </row>
    <row r="45" spans="2:6" s="1" customFormat="1" ht="30" customHeight="1" x14ac:dyDescent="0.35">
      <c r="B45" s="25" t="s">
        <v>44</v>
      </c>
      <c r="C45" s="50"/>
      <c r="D45" s="50"/>
      <c r="E45" s="35"/>
      <c r="F45" s="35"/>
    </row>
    <row r="46" spans="2:6" s="1" customFormat="1" ht="30" customHeight="1" x14ac:dyDescent="0.35">
      <c r="B46" s="29" t="s">
        <v>45</v>
      </c>
      <c r="C46" s="30"/>
      <c r="D46" s="30"/>
      <c r="E46" s="31"/>
      <c r="F46" s="31"/>
    </row>
    <row r="47" spans="2:6" s="1" customFormat="1" ht="30" customHeight="1" x14ac:dyDescent="0.35">
      <c r="B47" s="25" t="s">
        <v>84</v>
      </c>
      <c r="C47" s="50"/>
      <c r="D47" s="50"/>
      <c r="E47" s="35"/>
      <c r="F47" s="35"/>
    </row>
    <row r="48" spans="2:6" s="1" customFormat="1" ht="30" customHeight="1" x14ac:dyDescent="0.35">
      <c r="B48" s="29" t="s">
        <v>85</v>
      </c>
      <c r="C48" s="30"/>
      <c r="D48" s="30"/>
      <c r="E48" s="31"/>
      <c r="F48" s="31"/>
    </row>
    <row r="49" spans="2:6" s="1" customFormat="1" ht="30" customHeight="1" x14ac:dyDescent="0.35">
      <c r="B49" s="29" t="s">
        <v>33</v>
      </c>
      <c r="C49" s="30"/>
      <c r="D49" s="30"/>
      <c r="E49" s="31"/>
      <c r="F49" s="31"/>
    </row>
    <row r="50" spans="2:6" s="1" customFormat="1" ht="30" customHeight="1" x14ac:dyDescent="0.35">
      <c r="B50" s="25" t="s">
        <v>46</v>
      </c>
      <c r="C50" s="50"/>
      <c r="D50" s="50"/>
      <c r="E50" s="35"/>
      <c r="F50" s="35"/>
    </row>
    <row r="51" spans="2:6" s="1" customFormat="1" ht="30" customHeight="1" x14ac:dyDescent="0.35">
      <c r="B51" s="25" t="s">
        <v>47</v>
      </c>
      <c r="C51" s="50"/>
      <c r="D51" s="50"/>
      <c r="E51" s="35"/>
      <c r="F51" s="35"/>
    </row>
    <row r="52" spans="2:6" s="1" customFormat="1" ht="30" customHeight="1" x14ac:dyDescent="0.35">
      <c r="B52" s="25" t="s">
        <v>48</v>
      </c>
      <c r="C52" s="50"/>
      <c r="D52" s="50"/>
      <c r="E52" s="35"/>
      <c r="F52" s="35"/>
    </row>
    <row r="53" spans="2:6" s="1" customFormat="1" ht="30" customHeight="1" x14ac:dyDescent="0.35">
      <c r="B53" s="25" t="s">
        <v>49</v>
      </c>
      <c r="C53" s="50"/>
      <c r="D53" s="50"/>
      <c r="E53" s="35"/>
      <c r="F53" s="35"/>
    </row>
    <row r="54" spans="2:6" s="1" customFormat="1" ht="30" customHeight="1" x14ac:dyDescent="0.35">
      <c r="B54" s="29" t="s">
        <v>35</v>
      </c>
      <c r="C54" s="30"/>
      <c r="D54" s="30"/>
      <c r="E54" s="31"/>
      <c r="F54" s="31"/>
    </row>
    <row r="55" spans="2:6" s="1" customFormat="1" ht="30" customHeight="1" x14ac:dyDescent="0.35">
      <c r="B55" s="25" t="s">
        <v>50</v>
      </c>
      <c r="C55" s="50"/>
      <c r="D55" s="50"/>
      <c r="E55" s="35"/>
      <c r="F55" s="35"/>
    </row>
    <row r="56" spans="2:6" s="1" customFormat="1" ht="30" customHeight="1" x14ac:dyDescent="0.35">
      <c r="B56" s="29" t="s">
        <v>38</v>
      </c>
      <c r="C56" s="30"/>
      <c r="D56" s="30"/>
      <c r="E56" s="31"/>
      <c r="F56" s="31"/>
    </row>
    <row r="57" spans="2:6" s="1" customFormat="1" ht="30" customHeight="1" x14ac:dyDescent="0.35">
      <c r="B57" s="25" t="s">
        <v>51</v>
      </c>
      <c r="C57" s="50"/>
      <c r="D57" s="50"/>
      <c r="E57" s="35"/>
      <c r="F57" s="35"/>
    </row>
    <row r="58" spans="2:6" s="1" customFormat="1" ht="30" customHeight="1" x14ac:dyDescent="0.35">
      <c r="B58" s="25" t="s">
        <v>52</v>
      </c>
      <c r="C58" s="50"/>
      <c r="D58" s="50"/>
      <c r="E58" s="35"/>
      <c r="F58" s="35"/>
    </row>
    <row r="59" spans="2:6" s="1" customFormat="1" ht="30" customHeight="1" x14ac:dyDescent="0.35">
      <c r="B59" s="25" t="s">
        <v>53</v>
      </c>
      <c r="C59" s="50"/>
      <c r="D59" s="50"/>
      <c r="E59" s="35"/>
      <c r="F59" s="35"/>
    </row>
    <row r="60" spans="2:6" s="1" customFormat="1" ht="30" customHeight="1" x14ac:dyDescent="0.35">
      <c r="B60" s="29" t="s">
        <v>41</v>
      </c>
      <c r="C60" s="30"/>
      <c r="D60" s="30"/>
      <c r="E60" s="31"/>
      <c r="F60" s="31"/>
    </row>
    <row r="61" spans="2:6" s="1" customFormat="1" ht="30" customHeight="1" x14ac:dyDescent="0.35">
      <c r="B61" s="25" t="s">
        <v>54</v>
      </c>
      <c r="C61" s="50"/>
      <c r="D61" s="50"/>
      <c r="E61" s="35"/>
      <c r="F61" s="35"/>
    </row>
    <row r="62" spans="2:6" s="1" customFormat="1" ht="30" customHeight="1" x14ac:dyDescent="0.35">
      <c r="B62" s="25" t="s">
        <v>55</v>
      </c>
      <c r="C62" s="50"/>
      <c r="D62" s="50"/>
      <c r="E62" s="35"/>
      <c r="F62" s="35"/>
    </row>
    <row r="63" spans="2:6" s="1" customFormat="1" ht="30" customHeight="1" x14ac:dyDescent="0.35">
      <c r="B63" s="29" t="s">
        <v>42</v>
      </c>
      <c r="C63" s="30"/>
      <c r="D63" s="30"/>
      <c r="E63" s="31"/>
      <c r="F63" s="31"/>
    </row>
    <row r="64" spans="2:6" s="1" customFormat="1" ht="30" customHeight="1" x14ac:dyDescent="0.35">
      <c r="B64" s="25" t="s">
        <v>56</v>
      </c>
      <c r="C64" s="50"/>
      <c r="D64" s="50"/>
      <c r="E64" s="35"/>
      <c r="F64" s="35"/>
    </row>
    <row r="65" spans="2:6" s="1" customFormat="1" ht="30" customHeight="1" x14ac:dyDescent="0.35">
      <c r="B65" s="25" t="s">
        <v>57</v>
      </c>
      <c r="C65" s="50"/>
      <c r="D65" s="50"/>
      <c r="E65" s="35"/>
      <c r="F65" s="35"/>
    </row>
    <row r="66" spans="2:6" s="1" customFormat="1" ht="30" customHeight="1" x14ac:dyDescent="0.35">
      <c r="B66" s="25" t="s">
        <v>58</v>
      </c>
      <c r="C66" s="50"/>
      <c r="D66" s="50"/>
      <c r="E66" s="35"/>
      <c r="F66" s="35"/>
    </row>
    <row r="67" spans="2:6" s="1" customFormat="1" ht="30" customHeight="1" x14ac:dyDescent="0.35">
      <c r="B67" s="25" t="s">
        <v>59</v>
      </c>
      <c r="C67" s="50"/>
      <c r="D67" s="50"/>
      <c r="E67" s="35"/>
      <c r="F67" s="35"/>
    </row>
    <row r="68" spans="2:6" s="1" customFormat="1" ht="30" customHeight="1" x14ac:dyDescent="0.35">
      <c r="B68" s="29" t="s">
        <v>43</v>
      </c>
      <c r="C68" s="30"/>
      <c r="D68" s="30"/>
      <c r="E68" s="31"/>
      <c r="F68" s="31"/>
    </row>
    <row r="69" spans="2:6" s="1" customFormat="1" ht="30" customHeight="1" x14ac:dyDescent="0.35">
      <c r="B69" s="25" t="s">
        <v>60</v>
      </c>
      <c r="C69" s="50"/>
      <c r="D69" s="50"/>
      <c r="E69" s="35"/>
      <c r="F69" s="35"/>
    </row>
    <row r="70" spans="2:6" s="1" customFormat="1" ht="30" customHeight="1" x14ac:dyDescent="0.35">
      <c r="B70" s="29" t="s">
        <v>45</v>
      </c>
      <c r="C70" s="30"/>
      <c r="D70" s="30"/>
      <c r="E70" s="31"/>
      <c r="F70" s="31"/>
    </row>
    <row r="71" spans="2:6" s="1" customFormat="1" ht="30" customHeight="1" x14ac:dyDescent="0.35">
      <c r="B71" s="25" t="s">
        <v>61</v>
      </c>
      <c r="C71" s="50"/>
      <c r="D71" s="50"/>
      <c r="E71" s="35"/>
      <c r="F71" s="35"/>
    </row>
    <row r="72" spans="2:6" s="1" customFormat="1" ht="30" customHeight="1" x14ac:dyDescent="0.35">
      <c r="B72" s="16" t="s">
        <v>86</v>
      </c>
      <c r="C72" s="52"/>
      <c r="D72" s="52"/>
      <c r="E72" s="18"/>
      <c r="F72" s="18"/>
    </row>
    <row r="73" spans="2:6" s="1" customFormat="1" ht="30" customHeight="1" x14ac:dyDescent="0.35">
      <c r="B73" s="29" t="s">
        <v>33</v>
      </c>
      <c r="C73" s="30"/>
      <c r="D73" s="30"/>
      <c r="E73" s="31"/>
      <c r="F73" s="31"/>
    </row>
    <row r="74" spans="2:6" s="1" customFormat="1" ht="30" customHeight="1" x14ac:dyDescent="0.35">
      <c r="B74" s="25" t="s">
        <v>87</v>
      </c>
      <c r="C74" s="50"/>
      <c r="D74" s="50"/>
      <c r="E74" s="35"/>
      <c r="F74" s="35"/>
    </row>
    <row r="75" spans="2:6" s="1" customFormat="1" ht="30" customHeight="1" x14ac:dyDescent="0.35">
      <c r="B75" s="25" t="s">
        <v>62</v>
      </c>
      <c r="C75" s="50"/>
      <c r="D75" s="50"/>
      <c r="E75" s="35"/>
      <c r="F75" s="35"/>
    </row>
    <row r="76" spans="2:6" s="1" customFormat="1" ht="30" customHeight="1" x14ac:dyDescent="0.35">
      <c r="B76" s="25" t="s">
        <v>63</v>
      </c>
      <c r="C76" s="50"/>
      <c r="D76" s="50"/>
      <c r="E76" s="35"/>
      <c r="F76" s="35"/>
    </row>
    <row r="77" spans="2:6" s="1" customFormat="1" ht="30" customHeight="1" x14ac:dyDescent="0.35">
      <c r="B77" s="25" t="s">
        <v>64</v>
      </c>
      <c r="C77" s="50"/>
      <c r="D77" s="50"/>
      <c r="E77" s="35"/>
      <c r="F77" s="35"/>
    </row>
    <row r="78" spans="2:6" s="1" customFormat="1" ht="30" customHeight="1" x14ac:dyDescent="0.35">
      <c r="B78" s="29" t="s">
        <v>35</v>
      </c>
      <c r="C78" s="30"/>
      <c r="D78" s="30"/>
      <c r="E78" s="31"/>
      <c r="F78" s="31"/>
    </row>
    <row r="79" spans="2:6" s="1" customFormat="1" ht="30" customHeight="1" x14ac:dyDescent="0.35">
      <c r="B79" s="25" t="s">
        <v>65</v>
      </c>
      <c r="C79" s="50"/>
      <c r="D79" s="50"/>
      <c r="E79" s="35"/>
      <c r="F79" s="35"/>
    </row>
    <row r="80" spans="2:6" s="1" customFormat="1" ht="30" customHeight="1" x14ac:dyDescent="0.35">
      <c r="B80" s="29" t="s">
        <v>38</v>
      </c>
      <c r="C80" s="30"/>
      <c r="D80" s="30"/>
      <c r="E80" s="31"/>
      <c r="F80" s="31"/>
    </row>
    <row r="81" spans="2:6" s="1" customFormat="1" ht="30" customHeight="1" x14ac:dyDescent="0.35">
      <c r="B81" s="25" t="s">
        <v>66</v>
      </c>
      <c r="C81" s="50"/>
      <c r="D81" s="50"/>
      <c r="E81" s="35"/>
      <c r="F81" s="35"/>
    </row>
    <row r="82" spans="2:6" s="1" customFormat="1" ht="30" customHeight="1" x14ac:dyDescent="0.35">
      <c r="B82" s="25" t="s">
        <v>67</v>
      </c>
      <c r="C82" s="50"/>
      <c r="D82" s="50"/>
      <c r="E82" s="35"/>
      <c r="F82" s="35"/>
    </row>
    <row r="83" spans="2:6" s="1" customFormat="1" ht="30" customHeight="1" x14ac:dyDescent="0.35">
      <c r="B83" s="29" t="s">
        <v>41</v>
      </c>
      <c r="C83" s="30"/>
      <c r="D83" s="30"/>
      <c r="E83" s="31"/>
      <c r="F83" s="31"/>
    </row>
    <row r="84" spans="2:6" s="1" customFormat="1" ht="30" customHeight="1" x14ac:dyDescent="0.35">
      <c r="B84" s="25" t="s">
        <v>68</v>
      </c>
      <c r="C84" s="50"/>
      <c r="D84" s="50"/>
      <c r="E84" s="35"/>
      <c r="F84" s="35"/>
    </row>
    <row r="85" spans="2:6" s="1" customFormat="1" ht="30" customHeight="1" x14ac:dyDescent="0.35">
      <c r="B85" s="29" t="s">
        <v>42</v>
      </c>
      <c r="C85" s="30"/>
      <c r="D85" s="30"/>
      <c r="E85" s="31"/>
      <c r="F85" s="31"/>
    </row>
    <row r="86" spans="2:6" s="1" customFormat="1" ht="30" customHeight="1" x14ac:dyDescent="0.35">
      <c r="B86" s="25" t="s">
        <v>88</v>
      </c>
      <c r="C86" s="50"/>
      <c r="D86" s="50"/>
      <c r="E86" s="35"/>
      <c r="F86" s="35"/>
    </row>
    <row r="87" spans="2:6" s="1" customFormat="1" ht="30" customHeight="1" x14ac:dyDescent="0.35">
      <c r="B87" s="25" t="s">
        <v>89</v>
      </c>
      <c r="C87" s="50"/>
      <c r="D87" s="50"/>
      <c r="E87" s="35"/>
      <c r="F87" s="35"/>
    </row>
    <row r="88" spans="2:6" s="1" customFormat="1" ht="30" customHeight="1" x14ac:dyDescent="0.35">
      <c r="B88" s="25" t="s">
        <v>69</v>
      </c>
      <c r="C88" s="50"/>
      <c r="D88" s="50"/>
      <c r="E88" s="35"/>
      <c r="F88" s="35"/>
    </row>
    <row r="89" spans="2:6" s="1" customFormat="1" ht="30" customHeight="1" x14ac:dyDescent="0.35">
      <c r="B89" s="25" t="s">
        <v>70</v>
      </c>
      <c r="C89" s="50"/>
      <c r="D89" s="50"/>
      <c r="E89" s="35"/>
      <c r="F89" s="35"/>
    </row>
    <row r="90" spans="2:6" s="1" customFormat="1" ht="30" customHeight="1" x14ac:dyDescent="0.35">
      <c r="B90" s="25" t="s">
        <v>71</v>
      </c>
      <c r="C90" s="50"/>
      <c r="D90" s="50"/>
      <c r="E90" s="35"/>
      <c r="F90" s="35"/>
    </row>
    <row r="91" spans="2:6" s="1" customFormat="1" ht="30" customHeight="1" x14ac:dyDescent="0.35">
      <c r="B91" s="29" t="s">
        <v>43</v>
      </c>
      <c r="C91" s="30"/>
      <c r="D91" s="30"/>
      <c r="E91" s="31"/>
      <c r="F91" s="31"/>
    </row>
    <row r="92" spans="2:6" s="1" customFormat="1" ht="30" customHeight="1" x14ac:dyDescent="0.35">
      <c r="B92" s="25" t="s">
        <v>72</v>
      </c>
      <c r="C92" s="50"/>
      <c r="D92" s="50"/>
      <c r="E92" s="35"/>
      <c r="F92" s="35"/>
    </row>
    <row r="93" spans="2:6" s="1" customFormat="1" ht="30" customHeight="1" x14ac:dyDescent="0.35">
      <c r="B93" s="29" t="s">
        <v>45</v>
      </c>
      <c r="C93" s="30"/>
      <c r="D93" s="30"/>
      <c r="E93" s="31"/>
      <c r="F93" s="31"/>
    </row>
    <row r="94" spans="2:6" s="1" customFormat="1" ht="30" customHeight="1" x14ac:dyDescent="0.35">
      <c r="B94" s="25" t="s">
        <v>73</v>
      </c>
      <c r="C94" s="50"/>
      <c r="D94" s="50"/>
      <c r="E94" s="35"/>
      <c r="F94" s="35"/>
    </row>
    <row r="95" spans="2:6" s="1" customFormat="1" ht="30" customHeight="1" x14ac:dyDescent="0.35">
      <c r="B95" s="29" t="s">
        <v>90</v>
      </c>
      <c r="C95" s="30"/>
      <c r="D95" s="30"/>
      <c r="E95" s="31"/>
      <c r="F95" s="31"/>
    </row>
    <row r="96" spans="2:6" s="1" customFormat="1" ht="30" customHeight="1" x14ac:dyDescent="0.35">
      <c r="B96" s="25" t="s">
        <v>91</v>
      </c>
      <c r="C96" s="50"/>
      <c r="D96" s="50"/>
      <c r="E96" s="35"/>
      <c r="F96" s="35"/>
    </row>
    <row r="97" spans="2:6" s="1" customFormat="1" ht="30" customHeight="1" x14ac:dyDescent="0.35">
      <c r="B97" s="25" t="s">
        <v>92</v>
      </c>
      <c r="C97" s="50"/>
      <c r="D97" s="50"/>
      <c r="E97" s="35"/>
      <c r="F97" s="35"/>
    </row>
    <row r="98" spans="2:6" s="1" customFormat="1" ht="30" customHeight="1" x14ac:dyDescent="0.35">
      <c r="B98" s="25" t="s">
        <v>93</v>
      </c>
      <c r="C98" s="50"/>
      <c r="D98" s="50"/>
      <c r="E98" s="35"/>
      <c r="F98" s="35"/>
    </row>
    <row r="99" spans="2:6" s="1" customFormat="1" ht="30" customHeight="1" x14ac:dyDescent="0.35">
      <c r="B99" s="25" t="s">
        <v>94</v>
      </c>
      <c r="C99" s="50"/>
      <c r="D99" s="50"/>
      <c r="E99" s="35"/>
      <c r="F99" s="35"/>
    </row>
    <row r="100" spans="2:6" s="1" customFormat="1" ht="30" customHeight="1" x14ac:dyDescent="0.35">
      <c r="B100" s="25" t="s">
        <v>95</v>
      </c>
      <c r="C100" s="50"/>
      <c r="D100" s="50"/>
      <c r="E100" s="35"/>
      <c r="F100" s="35"/>
    </row>
    <row r="101" spans="2:6" s="1" customFormat="1" ht="30" customHeight="1" x14ac:dyDescent="0.35">
      <c r="B101" s="29" t="s">
        <v>96</v>
      </c>
      <c r="C101" s="30"/>
      <c r="D101" s="30"/>
      <c r="E101" s="31"/>
      <c r="F101" s="31"/>
    </row>
    <row r="102" spans="2:6" s="1" customFormat="1" ht="30" customHeight="1" x14ac:dyDescent="0.35">
      <c r="B102" s="25" t="s">
        <v>24</v>
      </c>
      <c r="C102" s="50"/>
      <c r="D102" s="50"/>
      <c r="E102" s="35"/>
      <c r="F102" s="35"/>
    </row>
    <row r="103" spans="2:6" s="1" customFormat="1" ht="30" customHeight="1" x14ac:dyDescent="0.35">
      <c r="B103" s="25" t="s">
        <v>25</v>
      </c>
      <c r="C103" s="50"/>
      <c r="D103" s="50"/>
      <c r="E103" s="35"/>
      <c r="F103" s="35"/>
    </row>
    <row r="104" spans="2:6" s="1" customFormat="1" ht="30" customHeight="1" x14ac:dyDescent="0.35">
      <c r="B104" s="25" t="s">
        <v>26</v>
      </c>
      <c r="C104" s="50"/>
      <c r="D104" s="50"/>
      <c r="E104" s="35"/>
      <c r="F104" s="35"/>
    </row>
    <row r="105" spans="2:6" s="1" customFormat="1" ht="30" customHeight="1" x14ac:dyDescent="0.35">
      <c r="B105" s="25" t="s">
        <v>27</v>
      </c>
      <c r="C105" s="50"/>
      <c r="D105" s="50"/>
      <c r="E105" s="35"/>
      <c r="F105" s="35"/>
    </row>
    <row r="106" spans="2:6" s="1" customFormat="1" ht="30" customHeight="1" x14ac:dyDescent="0.35">
      <c r="B106" s="25" t="s">
        <v>28</v>
      </c>
      <c r="C106" s="50"/>
      <c r="D106" s="50"/>
      <c r="E106" s="35"/>
      <c r="F106" s="35"/>
    </row>
  </sheetData>
  <mergeCells count="6">
    <mergeCell ref="M2:O2"/>
    <mergeCell ref="B3:B4"/>
    <mergeCell ref="C3:C4"/>
    <mergeCell ref="D3:D4"/>
    <mergeCell ref="E3:E4"/>
    <mergeCell ref="F3:F4"/>
  </mergeCells>
  <conditionalFormatting sqref="G7:V7 G12:AA36 G37:V117">
    <cfRule type="expression" dxfId="979" priority="17">
      <formula>AND($C7&lt;&gt;"",$D7&lt;&gt;"",$E7&lt;&gt;"",$C7&lt;=EOMONTH(G$4,0),($C7+(($D7-$C7)*$E7))&gt;=G$4)</formula>
    </cfRule>
    <cfRule type="expression" dxfId="978" priority="18">
      <formula>AND($C7&lt;&gt;"",$D7&lt;&gt;"",$C7&lt;=EOMONTH(G$4,0),$D7&gt;=G$4)</formula>
    </cfRule>
  </conditionalFormatting>
  <conditionalFormatting sqref="G7:V11">
    <cfRule type="expression" dxfId="977" priority="3">
      <formula>AND($C7&lt;&gt;"",$D7&lt;&gt;"",$E7&gt;0,$C7&lt;=EOMONTH(G$4,0),($C7+(($D7-$C7)*$E7))&gt;=G$4)</formula>
    </cfRule>
    <cfRule type="expression" dxfId="976" priority="4">
      <formula>AND($C7&lt;&gt;"",$D7&lt;&gt;"",$C7&lt;=EOMONTH(G$4,0),$D7&gt;=G$4)</formula>
    </cfRule>
    <cfRule type="expression" dxfId="975" priority="15">
      <formula>AND($C7&lt;&gt;"",$D7&lt;&gt;"",$E7&lt;&gt;"",$C7&lt;=EOMONTH(G$4,0),($C7+(($D7-$C7)*$E7))&gt;=G$4)</formula>
    </cfRule>
    <cfRule type="expression" dxfId="974" priority="16">
      <formula>AND($C7&lt;&gt;"",$D7&lt;&gt;"",$C7&lt;=EOMONTH(G$4,0),$D7&gt;=G$4)</formula>
    </cfRule>
  </conditionalFormatting>
  <conditionalFormatting sqref="G9:V11">
    <cfRule type="expression" dxfId="973" priority="13">
      <formula>AND($C9&lt;&gt;"",$D9&lt;&gt;"",$E9&lt;&gt;"",$C9&lt;=EOMONTH(G$4,0),($C9+(($D9-$C9)*$E9))&gt;=G$4)</formula>
    </cfRule>
    <cfRule type="expression" dxfId="972" priority="14">
      <formula>AND($C9&lt;&gt;"",$D9&lt;&gt;"",$C9&lt;=EOMONTH(G$4,0),$D9&gt;=G$4)</formula>
    </cfRule>
  </conditionalFormatting>
  <conditionalFormatting sqref="G4:W5">
    <cfRule type="expression" dxfId="971" priority="24">
      <formula>G$4=period_selected</formula>
    </cfRule>
  </conditionalFormatting>
  <conditionalFormatting sqref="G5:W5">
    <cfRule type="expression" dxfId="970" priority="27">
      <formula>AND(G$4&gt;=#REF!,G$4&lt;=$D5)</formula>
    </cfRule>
  </conditionalFormatting>
  <conditionalFormatting sqref="G6:W11 G12:AA36">
    <cfRule type="expression" dxfId="969" priority="19">
      <formula>PercentCompleteBeyond</formula>
    </cfRule>
    <cfRule type="expression" dxfId="968" priority="20">
      <formula>Actual</formula>
    </cfRule>
    <cfRule type="expression" dxfId="967" priority="21">
      <formula>ActualBeyond</formula>
    </cfRule>
    <cfRule type="expression" dxfId="966" priority="22">
      <formula>Plan</formula>
    </cfRule>
    <cfRule type="expression" dxfId="965" priority="23">
      <formula>G$4=period_selected</formula>
    </cfRule>
    <cfRule type="expression" dxfId="964" priority="25">
      <formula>MOD(COLUMN(),2)</formula>
    </cfRule>
    <cfRule type="expression" dxfId="963" priority="26">
      <formula>MOD(COLUMN(),2)=0</formula>
    </cfRule>
  </conditionalFormatting>
  <conditionalFormatting sqref="G7:W106">
    <cfRule type="expression" dxfId="962" priority="12">
      <formula>AND($C7&lt;&gt;"",$D7&lt;&gt;"",$E7&gt;0,$C7&lt;=EOMONTH(G$4,0),($C7+(($D7-$C7)*$E7))&gt;=G$4)</formula>
    </cfRule>
  </conditionalFormatting>
  <conditionalFormatting sqref="G25:W117">
    <cfRule type="expression" dxfId="961" priority="5">
      <formula>PercentCompleteBeyond</formula>
    </cfRule>
    <cfRule type="expression" dxfId="960" priority="6">
      <formula>Actual</formula>
    </cfRule>
    <cfRule type="expression" dxfId="959" priority="7">
      <formula>ActualBeyond</formula>
    </cfRule>
    <cfRule type="expression" dxfId="958" priority="8">
      <formula>Plan</formula>
    </cfRule>
    <cfRule type="expression" dxfId="957" priority="9">
      <formula>G$4=period_selected</formula>
    </cfRule>
    <cfRule type="expression" dxfId="956" priority="10">
      <formula>MOD(COLUMN(),2)</formula>
    </cfRule>
    <cfRule type="expression" dxfId="955" priority="11">
      <formula>MOD(COLUMN(),2)=0</formula>
    </cfRule>
  </conditionalFormatting>
  <conditionalFormatting sqref="G12:AA36">
    <cfRule type="expression" dxfId="954" priority="1">
      <formula>AND($C12&lt;&gt;"",$D12&lt;&gt;"",$E12&gt;0,$C12&lt;=EOMONTH(G$4,0),($C12+(($D12-$C12)*$E12))&gt;=G$4)</formula>
    </cfRule>
    <cfRule type="expression" dxfId="953" priority="2">
      <formula>AND($C12&lt;&gt;"",$D12&lt;&gt;"",$C12&lt;=EOMONTH(G$4,0),$D12&gt;=G$4)</formula>
    </cfRule>
  </conditionalFormatting>
  <dataValidations count="11">
    <dataValidation allowBlank="1" showInputMessage="1" showErrorMessage="1" prompt="Title of the project. Enter a new title in this cell. Highlight a period in H2. Chart legend is in J2 to AI2" sqref="B1" xr:uid="{FCB80D2B-CAC5-4A2D-8E8F-DBFEFC39D37D}"/>
    <dataValidation allowBlank="1" showInputMessage="1" showErrorMessage="1" prompt="Enter the percentage of project completed in column G, starting with cell G5" sqref="E3:E5" xr:uid="{AC160069-4BC6-4A3F-88E7-0F95C3FACAB2}"/>
    <dataValidation allowBlank="1" showInputMessage="1" showErrorMessage="1" prompt="Enter plan start period in column C, starting with cell C5" sqref="C3:C5" xr:uid="{EA3F779C-F682-4FE9-8333-29790175F5BD}"/>
    <dataValidation allowBlank="1" showInputMessage="1" showErrorMessage="1" prompt="Enter activity in column B, starting with cell B5_x000a_" sqref="B3:B5" xr:uid="{AF122060-7F31-40C8-9AB3-4AFDFED47205}"/>
    <dataValidation allowBlank="1" showInputMessage="1" showErrorMessage="1" prompt="Periods are charted from 1 to 60 starting from cell H4 to cell BO4 " sqref="G3" xr:uid="{F9D9C8A5-3A6B-48BB-8C56-EA5B915C8824}"/>
    <dataValidation allowBlank="1" showInputMessage="1" showErrorMessage="1" prompt="This legend cell indicates the percentage of project completed" sqref="T2" xr:uid="{A230EE5D-0B79-4540-A6B8-67A4E5FEC60D}"/>
    <dataValidation allowBlank="1" showInputMessage="1" showErrorMessage="1" prompt="This legend cell indicates plan duration" sqref="I2" xr:uid="{607667F0-5C50-43F1-BF66-74657534CA14}"/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" xr:uid="{0177C538-6CA3-4716-95D7-93A9EE3B9444}"/>
    <dataValidation allowBlank="1" showInputMessage="1" showErrorMessage="1" prompt="Enter actual duration period in column F, starting with cell F5" sqref="D3:E5" xr:uid="{421501EF-7A74-4AAB-A02C-010461B4DDF7}"/>
    <dataValidation allowBlank="1" showInputMessage="1" showErrorMessage="1" prompt="Select a period to highlight in H2. A Chart legend is in J2 to AI2" sqref="B2:E2" xr:uid="{0D84803C-53AF-4881-9B56-7ADD34EE40C5}"/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G2" xr:uid="{EF9A8EA5-094B-41CC-AC3D-6895D38582EC}">
      <formula1>$G$4:$W$4</formula1>
    </dataValidation>
  </dataValidations>
  <printOptions horizontalCentered="1"/>
  <pageMargins left="0.45" right="0.45" top="0.5" bottom="0.5" header="0.3" footer="0.3"/>
  <pageSetup paperSize="8" scale="75" fitToHeight="0" orientation="landscape" r:id="rId1"/>
  <headerFooter differentFirst="1">
    <oddFooter>&amp;L_x000D_&amp;1#&amp;"Aptos"&amp;8&amp;K000000 Sensitivity: LNT Construction Internal Use</oddFooter>
    <firstFooter>&amp;L_x000D_&amp;1#&amp;"Aptos"&amp;8&amp;K000000 Sensitivity: LNT Construction Internal Use</first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28CFE-125B-426F-929A-05D9CBD54853}">
  <dimension ref="A1:K76"/>
  <sheetViews>
    <sheetView topLeftCell="A6" zoomScale="52" workbookViewId="0">
      <selection activeCell="D16" sqref="D16"/>
    </sheetView>
  </sheetViews>
  <sheetFormatPr defaultColWidth="8.58203125" defaultRowHeight="14.5" x14ac:dyDescent="0.35"/>
  <cols>
    <col min="1" max="1" width="7.08203125" style="73" bestFit="1" customWidth="1"/>
    <col min="2" max="2" width="31.25" style="73" customWidth="1"/>
    <col min="3" max="3" width="8.58203125" style="73"/>
    <col min="4" max="4" width="8.25" style="73" bestFit="1" customWidth="1"/>
    <col min="5" max="5" width="13.75" style="73" bestFit="1" customWidth="1"/>
    <col min="6" max="6" width="10.58203125" style="73" bestFit="1" customWidth="1"/>
    <col min="7" max="7" width="13.83203125" style="73" bestFit="1" customWidth="1"/>
    <col min="8" max="8" width="27.83203125" style="73" bestFit="1" customWidth="1"/>
    <col min="9" max="9" width="20.58203125" style="73" bestFit="1" customWidth="1"/>
    <col min="10" max="10" width="16.08203125" style="73" customWidth="1"/>
    <col min="11" max="11" width="32.25" style="73" customWidth="1"/>
    <col min="12" max="16384" width="8.58203125" style="73"/>
  </cols>
  <sheetData>
    <row r="1" spans="1:11" ht="21.5" thickBot="1" x14ac:dyDescent="0.4">
      <c r="A1" s="267" t="s">
        <v>216</v>
      </c>
      <c r="B1" s="267"/>
      <c r="C1" s="267"/>
      <c r="D1" s="267"/>
      <c r="E1" s="267"/>
      <c r="F1" s="267"/>
      <c r="G1" s="267"/>
      <c r="H1" s="267"/>
      <c r="I1" s="267"/>
      <c r="J1" s="267"/>
      <c r="K1" s="268"/>
    </row>
    <row r="2" spans="1:11" ht="15" thickBot="1" x14ac:dyDescent="0.4">
      <c r="A2" s="269" t="s">
        <v>100</v>
      </c>
      <c r="B2" s="269" t="s">
        <v>101</v>
      </c>
      <c r="C2" s="270" t="s">
        <v>102</v>
      </c>
      <c r="D2" s="270" t="s">
        <v>103</v>
      </c>
      <c r="E2" s="270" t="s">
        <v>104</v>
      </c>
      <c r="F2" s="269" t="s">
        <v>105</v>
      </c>
      <c r="G2" s="269" t="s">
        <v>106</v>
      </c>
      <c r="H2" s="269" t="s">
        <v>107</v>
      </c>
      <c r="I2" s="270" t="s">
        <v>108</v>
      </c>
      <c r="J2" s="272" t="s">
        <v>109</v>
      </c>
      <c r="K2" s="273" t="s">
        <v>97</v>
      </c>
    </row>
    <row r="3" spans="1:11" ht="20.5" customHeight="1" thickBot="1" x14ac:dyDescent="0.4">
      <c r="A3" s="269"/>
      <c r="B3" s="269"/>
      <c r="C3" s="271"/>
      <c r="D3" s="271"/>
      <c r="E3" s="271"/>
      <c r="F3" s="269"/>
      <c r="G3" s="269"/>
      <c r="H3" s="269"/>
      <c r="I3" s="271"/>
      <c r="J3" s="272"/>
      <c r="K3" s="274"/>
    </row>
    <row r="4" spans="1:11" ht="42.5" thickBot="1" x14ac:dyDescent="0.4">
      <c r="A4" s="74">
        <v>1</v>
      </c>
      <c r="B4" s="75" t="s">
        <v>110</v>
      </c>
      <c r="C4" s="74" t="s">
        <v>111</v>
      </c>
      <c r="D4" s="74">
        <v>1196</v>
      </c>
      <c r="E4" s="74">
        <v>1180</v>
      </c>
      <c r="F4" s="74">
        <f t="shared" ref="F4:F33" si="0">D4-E4</f>
        <v>16</v>
      </c>
      <c r="G4" s="76"/>
      <c r="H4" s="77"/>
      <c r="I4" s="77" t="s">
        <v>112</v>
      </c>
      <c r="J4" s="78" t="s">
        <v>127</v>
      </c>
      <c r="K4" s="79" t="s">
        <v>217</v>
      </c>
    </row>
    <row r="5" spans="1:11" ht="84.5" thickBot="1" x14ac:dyDescent="0.4">
      <c r="A5" s="74">
        <v>3</v>
      </c>
      <c r="B5" s="80" t="s">
        <v>113</v>
      </c>
      <c r="C5" s="74" t="s">
        <v>114</v>
      </c>
      <c r="D5" s="74">
        <v>5234</v>
      </c>
      <c r="E5" s="74">
        <v>4900</v>
      </c>
      <c r="F5" s="74">
        <f t="shared" si="0"/>
        <v>334</v>
      </c>
      <c r="G5" s="76"/>
      <c r="H5" s="81"/>
      <c r="I5" s="78" t="s">
        <v>112</v>
      </c>
      <c r="J5" s="78" t="s">
        <v>115</v>
      </c>
      <c r="K5" s="82" t="s">
        <v>218</v>
      </c>
    </row>
    <row r="6" spans="1:11" ht="21.5" thickBot="1" x14ac:dyDescent="0.4">
      <c r="A6" s="74">
        <v>4</v>
      </c>
      <c r="B6" s="80" t="s">
        <v>117</v>
      </c>
      <c r="C6" s="74" t="s">
        <v>114</v>
      </c>
      <c r="D6" s="74">
        <v>6051</v>
      </c>
      <c r="E6" s="74">
        <v>5800</v>
      </c>
      <c r="F6" s="74">
        <f t="shared" si="0"/>
        <v>251</v>
      </c>
      <c r="G6" s="76"/>
      <c r="H6" s="81"/>
      <c r="I6" s="78" t="s">
        <v>112</v>
      </c>
      <c r="J6" s="78" t="s">
        <v>219</v>
      </c>
      <c r="K6" s="83" t="s">
        <v>220</v>
      </c>
    </row>
    <row r="7" spans="1:11" ht="21.5" thickBot="1" x14ac:dyDescent="0.4">
      <c r="A7" s="74">
        <v>5</v>
      </c>
      <c r="B7" s="75" t="s">
        <v>119</v>
      </c>
      <c r="C7" s="74" t="s">
        <v>114</v>
      </c>
      <c r="D7" s="74">
        <v>11938</v>
      </c>
      <c r="E7" s="74">
        <v>11638</v>
      </c>
      <c r="F7" s="74">
        <f t="shared" si="0"/>
        <v>300</v>
      </c>
      <c r="G7" s="76"/>
      <c r="H7" s="81"/>
      <c r="I7" s="81" t="s">
        <v>112</v>
      </c>
      <c r="J7" s="78" t="s">
        <v>120</v>
      </c>
      <c r="K7" s="82" t="s">
        <v>221</v>
      </c>
    </row>
    <row r="8" spans="1:11" ht="21.5" thickBot="1" x14ac:dyDescent="0.5">
      <c r="A8" s="84">
        <v>6</v>
      </c>
      <c r="B8" s="85" t="s">
        <v>122</v>
      </c>
      <c r="C8" s="84" t="s">
        <v>123</v>
      </c>
      <c r="D8" s="84">
        <v>368</v>
      </c>
      <c r="E8" s="84">
        <v>368</v>
      </c>
      <c r="F8" s="84">
        <f t="shared" si="0"/>
        <v>0</v>
      </c>
      <c r="G8" s="86"/>
      <c r="H8" s="87"/>
      <c r="I8" s="87"/>
      <c r="J8" s="88"/>
      <c r="K8" s="89"/>
    </row>
    <row r="9" spans="1:11" ht="21.5" thickBot="1" x14ac:dyDescent="0.5">
      <c r="A9" s="74" t="s">
        <v>124</v>
      </c>
      <c r="B9" s="75" t="s">
        <v>125</v>
      </c>
      <c r="C9" s="74" t="s">
        <v>126</v>
      </c>
      <c r="D9" s="74">
        <v>260</v>
      </c>
      <c r="E9" s="74">
        <v>230</v>
      </c>
      <c r="F9" s="74">
        <f t="shared" si="0"/>
        <v>30</v>
      </c>
      <c r="G9" s="76"/>
      <c r="H9" s="81"/>
      <c r="I9" s="81" t="s">
        <v>112</v>
      </c>
      <c r="J9" s="77" t="s">
        <v>127</v>
      </c>
      <c r="K9" s="90" t="s">
        <v>128</v>
      </c>
    </row>
    <row r="10" spans="1:11" ht="21.5" thickBot="1" x14ac:dyDescent="0.5">
      <c r="A10" s="74" t="s">
        <v>129</v>
      </c>
      <c r="B10" s="75" t="s">
        <v>130</v>
      </c>
      <c r="C10" s="74" t="s">
        <v>126</v>
      </c>
      <c r="D10" s="74">
        <v>42</v>
      </c>
      <c r="E10" s="74">
        <v>32</v>
      </c>
      <c r="F10" s="74">
        <f t="shared" si="0"/>
        <v>10</v>
      </c>
      <c r="G10" s="76"/>
      <c r="H10" s="81"/>
      <c r="I10" s="81" t="s">
        <v>112</v>
      </c>
      <c r="J10" s="77">
        <v>46325</v>
      </c>
      <c r="K10" s="90"/>
    </row>
    <row r="11" spans="1:11" ht="21.5" thickBot="1" x14ac:dyDescent="0.5">
      <c r="A11" s="74">
        <v>7</v>
      </c>
      <c r="B11" s="75" t="s">
        <v>131</v>
      </c>
      <c r="C11" s="74" t="s">
        <v>114</v>
      </c>
      <c r="D11" s="74">
        <v>105</v>
      </c>
      <c r="E11" s="74">
        <v>0</v>
      </c>
      <c r="F11" s="74">
        <f t="shared" si="0"/>
        <v>105</v>
      </c>
      <c r="G11" s="76"/>
      <c r="H11" s="81"/>
      <c r="I11" s="78" t="s">
        <v>222</v>
      </c>
      <c r="J11" s="77">
        <v>46336</v>
      </c>
      <c r="K11" s="90" t="s">
        <v>223</v>
      </c>
    </row>
    <row r="12" spans="1:11" ht="21.5" thickBot="1" x14ac:dyDescent="0.5">
      <c r="A12" s="74">
        <v>8</v>
      </c>
      <c r="B12" s="75" t="s">
        <v>133</v>
      </c>
      <c r="C12" s="74" t="s">
        <v>114</v>
      </c>
      <c r="D12" s="74">
        <v>125</v>
      </c>
      <c r="E12" s="74">
        <v>0</v>
      </c>
      <c r="F12" s="74">
        <f t="shared" si="0"/>
        <v>125</v>
      </c>
      <c r="G12" s="76"/>
      <c r="H12" s="81"/>
      <c r="I12" s="78" t="s">
        <v>224</v>
      </c>
      <c r="J12" s="77">
        <v>46337</v>
      </c>
      <c r="K12" s="90" t="s">
        <v>223</v>
      </c>
    </row>
    <row r="13" spans="1:11" ht="21.5" thickBot="1" x14ac:dyDescent="0.5">
      <c r="A13" s="74" t="s">
        <v>134</v>
      </c>
      <c r="B13" s="75" t="s">
        <v>135</v>
      </c>
      <c r="C13" s="74" t="s">
        <v>114</v>
      </c>
      <c r="D13" s="74">
        <v>35</v>
      </c>
      <c r="E13" s="74">
        <v>4</v>
      </c>
      <c r="F13" s="74">
        <f t="shared" si="0"/>
        <v>31</v>
      </c>
      <c r="G13" s="76"/>
      <c r="H13" s="81"/>
      <c r="I13" s="78" t="s">
        <v>112</v>
      </c>
      <c r="J13" s="77" t="s">
        <v>136</v>
      </c>
      <c r="K13" s="90" t="s">
        <v>137</v>
      </c>
    </row>
    <row r="14" spans="1:11" ht="21.5" thickBot="1" x14ac:dyDescent="0.4">
      <c r="A14" s="84">
        <v>2</v>
      </c>
      <c r="B14" s="85" t="s">
        <v>138</v>
      </c>
      <c r="C14" s="84" t="s">
        <v>126</v>
      </c>
      <c r="D14" s="84">
        <v>137</v>
      </c>
      <c r="E14" s="84">
        <v>137</v>
      </c>
      <c r="F14" s="84">
        <f>D14-E14</f>
        <v>0</v>
      </c>
      <c r="G14" s="86"/>
      <c r="H14" s="88"/>
      <c r="I14" s="88"/>
      <c r="J14" s="91"/>
      <c r="K14" s="84"/>
    </row>
    <row r="15" spans="1:11" ht="21.5" thickBot="1" x14ac:dyDescent="0.5">
      <c r="A15" s="84">
        <v>9</v>
      </c>
      <c r="B15" s="85" t="s">
        <v>139</v>
      </c>
      <c r="C15" s="84" t="s">
        <v>126</v>
      </c>
      <c r="D15" s="84">
        <v>137</v>
      </c>
      <c r="E15" s="84">
        <v>137</v>
      </c>
      <c r="F15" s="84">
        <f t="shared" si="0"/>
        <v>0</v>
      </c>
      <c r="G15" s="86"/>
      <c r="H15" s="88"/>
      <c r="I15" s="88"/>
      <c r="J15" s="88"/>
      <c r="K15" s="89"/>
    </row>
    <row r="16" spans="1:11" ht="21.5" thickBot="1" x14ac:dyDescent="0.4">
      <c r="A16" s="92">
        <v>10</v>
      </c>
      <c r="B16" s="93" t="s">
        <v>140</v>
      </c>
      <c r="C16" s="92" t="s">
        <v>114</v>
      </c>
      <c r="D16" s="92">
        <v>4646</v>
      </c>
      <c r="E16" s="92">
        <v>0</v>
      </c>
      <c r="F16" s="92">
        <f t="shared" si="0"/>
        <v>4646</v>
      </c>
      <c r="G16" s="94"/>
      <c r="H16" s="95" t="s">
        <v>225</v>
      </c>
      <c r="I16" s="95" t="s">
        <v>136</v>
      </c>
      <c r="J16" s="95" t="s">
        <v>226</v>
      </c>
      <c r="K16" s="96" t="s">
        <v>227</v>
      </c>
    </row>
    <row r="17" spans="1:11" ht="21.5" thickBot="1" x14ac:dyDescent="0.4">
      <c r="A17" s="74" t="s">
        <v>141</v>
      </c>
      <c r="B17" s="75" t="s">
        <v>142</v>
      </c>
      <c r="C17" s="74" t="s">
        <v>114</v>
      </c>
      <c r="D17" s="74" t="s">
        <v>228</v>
      </c>
      <c r="E17" s="74">
        <v>0</v>
      </c>
      <c r="F17" s="74" t="e">
        <f t="shared" si="0"/>
        <v>#VALUE!</v>
      </c>
      <c r="G17" s="76"/>
      <c r="H17" s="77"/>
      <c r="I17" s="77">
        <v>46327</v>
      </c>
      <c r="J17" s="77" t="s">
        <v>151</v>
      </c>
      <c r="K17" s="97" t="s">
        <v>227</v>
      </c>
    </row>
    <row r="18" spans="1:11" ht="21.5" thickBot="1" x14ac:dyDescent="0.4">
      <c r="A18" s="74">
        <v>11</v>
      </c>
      <c r="B18" s="75" t="s">
        <v>229</v>
      </c>
      <c r="C18" s="74" t="s">
        <v>144</v>
      </c>
      <c r="D18" s="74">
        <v>2448</v>
      </c>
      <c r="E18" s="74">
        <v>0</v>
      </c>
      <c r="F18" s="74">
        <f t="shared" si="0"/>
        <v>2448</v>
      </c>
      <c r="G18" s="76"/>
      <c r="H18" s="77" t="s">
        <v>225</v>
      </c>
      <c r="I18" s="77" t="s">
        <v>136</v>
      </c>
      <c r="J18" s="77" t="s">
        <v>226</v>
      </c>
      <c r="K18" s="97" t="s">
        <v>227</v>
      </c>
    </row>
    <row r="19" spans="1:11" ht="44" thickBot="1" x14ac:dyDescent="0.4">
      <c r="A19" s="74">
        <v>12</v>
      </c>
      <c r="B19" s="80" t="s">
        <v>145</v>
      </c>
      <c r="C19" s="74" t="s">
        <v>114</v>
      </c>
      <c r="D19" s="74">
        <v>1350</v>
      </c>
      <c r="E19" s="74">
        <v>60</v>
      </c>
      <c r="F19" s="74">
        <f t="shared" si="0"/>
        <v>1290</v>
      </c>
      <c r="G19" s="76"/>
      <c r="H19" s="77" t="s">
        <v>225</v>
      </c>
      <c r="I19" s="77" t="s">
        <v>230</v>
      </c>
      <c r="J19" s="77" t="s">
        <v>219</v>
      </c>
      <c r="K19" s="98" t="s">
        <v>146</v>
      </c>
    </row>
    <row r="20" spans="1:11" ht="21.5" thickBot="1" x14ac:dyDescent="0.4">
      <c r="A20" s="74">
        <v>13</v>
      </c>
      <c r="B20" s="75" t="s">
        <v>147</v>
      </c>
      <c r="C20" s="74" t="s">
        <v>114</v>
      </c>
      <c r="D20" s="74">
        <v>110</v>
      </c>
      <c r="E20" s="74">
        <v>0</v>
      </c>
      <c r="F20" s="74">
        <f t="shared" si="0"/>
        <v>110</v>
      </c>
      <c r="G20" s="76"/>
      <c r="H20" s="77" t="s">
        <v>225</v>
      </c>
      <c r="I20" s="77" t="s">
        <v>136</v>
      </c>
      <c r="J20" s="77" t="s">
        <v>120</v>
      </c>
      <c r="K20" s="99" t="s">
        <v>231</v>
      </c>
    </row>
    <row r="21" spans="1:11" ht="21.5" thickBot="1" x14ac:dyDescent="0.4">
      <c r="A21" s="74">
        <v>14</v>
      </c>
      <c r="B21" s="75" t="s">
        <v>148</v>
      </c>
      <c r="C21" s="74" t="s">
        <v>114</v>
      </c>
      <c r="D21" s="74">
        <v>17172</v>
      </c>
      <c r="E21" s="74">
        <v>0</v>
      </c>
      <c r="F21" s="74">
        <f t="shared" si="0"/>
        <v>17172</v>
      </c>
      <c r="G21" s="76"/>
      <c r="H21" s="77"/>
      <c r="I21" s="77" t="s">
        <v>112</v>
      </c>
      <c r="J21" s="77" t="s">
        <v>232</v>
      </c>
      <c r="K21" s="97" t="s">
        <v>233</v>
      </c>
    </row>
    <row r="22" spans="1:11" ht="21.5" thickBot="1" x14ac:dyDescent="0.4">
      <c r="A22" s="74">
        <v>15</v>
      </c>
      <c r="B22" s="75" t="s">
        <v>150</v>
      </c>
      <c r="C22" s="74" t="s">
        <v>114</v>
      </c>
      <c r="D22" s="74">
        <v>5457</v>
      </c>
      <c r="E22" s="74">
        <v>0</v>
      </c>
      <c r="F22" s="74">
        <f t="shared" si="0"/>
        <v>5457</v>
      </c>
      <c r="G22" s="76"/>
      <c r="H22" s="77"/>
      <c r="I22" s="77">
        <v>46296</v>
      </c>
      <c r="J22" s="77" t="s">
        <v>151</v>
      </c>
      <c r="K22" s="97" t="s">
        <v>152</v>
      </c>
    </row>
    <row r="23" spans="1:11" ht="21.5" thickBot="1" x14ac:dyDescent="0.4">
      <c r="A23" s="74">
        <v>16</v>
      </c>
      <c r="B23" s="75" t="s">
        <v>153</v>
      </c>
      <c r="C23" s="74" t="s">
        <v>114</v>
      </c>
      <c r="D23" s="74">
        <v>535</v>
      </c>
      <c r="E23" s="74">
        <v>0</v>
      </c>
      <c r="F23" s="74">
        <f t="shared" si="0"/>
        <v>535</v>
      </c>
      <c r="G23" s="76"/>
      <c r="H23" s="77" t="s">
        <v>154</v>
      </c>
      <c r="I23" s="77" t="s">
        <v>155</v>
      </c>
      <c r="J23" s="77" t="s">
        <v>115</v>
      </c>
      <c r="K23" s="97"/>
    </row>
    <row r="24" spans="1:11" ht="21.5" thickBot="1" x14ac:dyDescent="0.4">
      <c r="A24" s="74">
        <v>17</v>
      </c>
      <c r="B24" s="75" t="s">
        <v>157</v>
      </c>
      <c r="C24" s="74" t="s">
        <v>126</v>
      </c>
      <c r="D24" s="74">
        <v>137</v>
      </c>
      <c r="E24" s="74">
        <v>0</v>
      </c>
      <c r="F24" s="74">
        <f t="shared" si="0"/>
        <v>137</v>
      </c>
      <c r="G24" s="76"/>
      <c r="H24" s="77"/>
      <c r="I24" s="77">
        <v>46277</v>
      </c>
      <c r="J24" s="77">
        <v>46305</v>
      </c>
      <c r="K24" s="97" t="s">
        <v>158</v>
      </c>
    </row>
    <row r="25" spans="1:11" ht="21.5" thickBot="1" x14ac:dyDescent="0.4">
      <c r="A25" s="74">
        <v>18</v>
      </c>
      <c r="B25" s="75" t="s">
        <v>159</v>
      </c>
      <c r="C25" s="74" t="s">
        <v>126</v>
      </c>
      <c r="D25" s="74">
        <v>86</v>
      </c>
      <c r="E25" s="74">
        <v>0</v>
      </c>
      <c r="F25" s="74">
        <f t="shared" si="0"/>
        <v>86</v>
      </c>
      <c r="G25" s="76"/>
      <c r="H25" s="77" t="s">
        <v>161</v>
      </c>
      <c r="I25" s="77">
        <v>46277</v>
      </c>
      <c r="J25" s="77" t="s">
        <v>120</v>
      </c>
      <c r="K25" s="97" t="s">
        <v>234</v>
      </c>
    </row>
    <row r="26" spans="1:11" ht="21.5" thickBot="1" x14ac:dyDescent="0.4">
      <c r="A26" s="74">
        <v>19</v>
      </c>
      <c r="B26" s="75" t="s">
        <v>160</v>
      </c>
      <c r="C26" s="74" t="s">
        <v>126</v>
      </c>
      <c r="D26" s="74">
        <v>10</v>
      </c>
      <c r="E26" s="74">
        <v>0</v>
      </c>
      <c r="F26" s="74">
        <f t="shared" si="0"/>
        <v>10</v>
      </c>
      <c r="G26" s="76"/>
      <c r="H26" s="77" t="s">
        <v>161</v>
      </c>
      <c r="I26" s="77" t="s">
        <v>235</v>
      </c>
      <c r="J26" s="77">
        <v>46336</v>
      </c>
      <c r="K26" s="97" t="s">
        <v>236</v>
      </c>
    </row>
    <row r="27" spans="1:11" ht="21.5" thickBot="1" x14ac:dyDescent="0.4">
      <c r="A27" s="74">
        <v>20</v>
      </c>
      <c r="B27" s="75" t="s">
        <v>163</v>
      </c>
      <c r="C27" s="74" t="s">
        <v>126</v>
      </c>
      <c r="D27" s="74">
        <v>26</v>
      </c>
      <c r="E27" s="74">
        <v>12</v>
      </c>
      <c r="F27" s="74">
        <f t="shared" si="0"/>
        <v>14</v>
      </c>
      <c r="G27" s="76"/>
      <c r="H27" s="77" t="s">
        <v>164</v>
      </c>
      <c r="I27" s="77">
        <v>46296</v>
      </c>
      <c r="J27" s="77">
        <v>46305</v>
      </c>
      <c r="K27" s="97" t="s">
        <v>165</v>
      </c>
    </row>
    <row r="28" spans="1:11" ht="21.5" thickBot="1" x14ac:dyDescent="0.4">
      <c r="A28" s="74">
        <v>21</v>
      </c>
      <c r="B28" s="75" t="s">
        <v>166</v>
      </c>
      <c r="C28" s="74" t="s">
        <v>126</v>
      </c>
      <c r="D28" s="74">
        <v>121</v>
      </c>
      <c r="E28" s="74">
        <v>0</v>
      </c>
      <c r="F28" s="74">
        <f t="shared" si="0"/>
        <v>121</v>
      </c>
      <c r="G28" s="76"/>
      <c r="H28" s="77" t="s">
        <v>167</v>
      </c>
      <c r="I28" s="77" t="s">
        <v>136</v>
      </c>
      <c r="J28" s="77" t="s">
        <v>120</v>
      </c>
      <c r="K28" s="97" t="s">
        <v>168</v>
      </c>
    </row>
    <row r="29" spans="1:11" ht="21.5" thickBot="1" x14ac:dyDescent="0.4">
      <c r="A29" s="100">
        <v>22</v>
      </c>
      <c r="B29" s="101" t="s">
        <v>169</v>
      </c>
      <c r="C29" s="100" t="s">
        <v>126</v>
      </c>
      <c r="D29" s="100">
        <v>42</v>
      </c>
      <c r="E29" s="100">
        <v>14</v>
      </c>
      <c r="F29" s="100">
        <f t="shared" si="0"/>
        <v>28</v>
      </c>
      <c r="G29" s="102"/>
      <c r="H29" s="77" t="s">
        <v>167</v>
      </c>
      <c r="I29" s="77" t="s">
        <v>136</v>
      </c>
      <c r="J29" s="77" t="s">
        <v>120</v>
      </c>
      <c r="K29" s="97" t="s">
        <v>168</v>
      </c>
    </row>
    <row r="30" spans="1:11" ht="21.5" thickBot="1" x14ac:dyDescent="0.4">
      <c r="A30" s="74" t="s">
        <v>170</v>
      </c>
      <c r="B30" s="75" t="s">
        <v>171</v>
      </c>
      <c r="C30" s="74" t="s">
        <v>126</v>
      </c>
      <c r="D30" s="74">
        <v>121</v>
      </c>
      <c r="E30" s="74">
        <v>0</v>
      </c>
      <c r="F30" s="74">
        <f>D30-E30</f>
        <v>121</v>
      </c>
      <c r="G30" s="76"/>
      <c r="H30" s="77" t="s">
        <v>161</v>
      </c>
      <c r="I30" s="77" t="s">
        <v>136</v>
      </c>
      <c r="J30" s="77" t="s">
        <v>120</v>
      </c>
      <c r="K30" s="97" t="s">
        <v>168</v>
      </c>
    </row>
    <row r="31" spans="1:11" ht="21.5" thickBot="1" x14ac:dyDescent="0.4">
      <c r="A31" s="100"/>
      <c r="B31" s="101" t="s">
        <v>172</v>
      </c>
      <c r="C31" s="100" t="s">
        <v>126</v>
      </c>
      <c r="D31" s="100">
        <v>104</v>
      </c>
      <c r="E31" s="100">
        <v>75</v>
      </c>
      <c r="F31" s="100">
        <f t="shared" si="0"/>
        <v>29</v>
      </c>
      <c r="G31" s="102"/>
      <c r="H31" s="103" t="s">
        <v>237</v>
      </c>
      <c r="I31" s="103" t="s">
        <v>238</v>
      </c>
      <c r="J31" s="103" t="s">
        <v>173</v>
      </c>
      <c r="K31" s="104"/>
    </row>
    <row r="32" spans="1:11" ht="21.5" thickBot="1" x14ac:dyDescent="0.4">
      <c r="A32" s="100">
        <v>23</v>
      </c>
      <c r="B32" s="101" t="s">
        <v>174</v>
      </c>
      <c r="C32" s="100" t="s">
        <v>126</v>
      </c>
      <c r="D32" s="100">
        <v>104</v>
      </c>
      <c r="E32" s="100">
        <v>0</v>
      </c>
      <c r="F32" s="100">
        <f t="shared" si="0"/>
        <v>104</v>
      </c>
      <c r="G32" s="102"/>
      <c r="H32" s="103" t="s">
        <v>239</v>
      </c>
      <c r="I32" s="103">
        <v>46277</v>
      </c>
      <c r="J32" s="103" t="s">
        <v>240</v>
      </c>
      <c r="K32" s="104" t="s">
        <v>154</v>
      </c>
    </row>
    <row r="33" spans="1:11" ht="21.5" thickBot="1" x14ac:dyDescent="0.4">
      <c r="A33" s="105">
        <v>24</v>
      </c>
      <c r="B33" s="106" t="s">
        <v>241</v>
      </c>
      <c r="C33" s="105" t="s">
        <v>126</v>
      </c>
      <c r="D33" s="105">
        <v>121</v>
      </c>
      <c r="E33" s="105">
        <v>0</v>
      </c>
      <c r="F33" s="105">
        <f t="shared" si="0"/>
        <v>121</v>
      </c>
      <c r="G33" s="107"/>
      <c r="H33" s="103" t="s">
        <v>239</v>
      </c>
      <c r="I33" s="108" t="s">
        <v>242</v>
      </c>
      <c r="J33" s="108" t="s">
        <v>243</v>
      </c>
      <c r="K33" s="109" t="s">
        <v>244</v>
      </c>
    </row>
    <row r="34" spans="1:11" ht="21.5" thickBot="1" x14ac:dyDescent="0.4">
      <c r="A34" s="100">
        <v>25</v>
      </c>
      <c r="B34" s="101" t="s">
        <v>110</v>
      </c>
      <c r="C34" s="100" t="s">
        <v>144</v>
      </c>
      <c r="D34" s="100">
        <f>121*4</f>
        <v>484</v>
      </c>
      <c r="E34" s="100">
        <v>0</v>
      </c>
      <c r="F34" s="100">
        <v>484</v>
      </c>
      <c r="G34" s="102"/>
      <c r="H34" s="103"/>
      <c r="I34" s="110" t="s">
        <v>245</v>
      </c>
      <c r="J34" s="110" t="s">
        <v>246</v>
      </c>
      <c r="K34" s="104"/>
    </row>
    <row r="35" spans="1:11" ht="21.5" thickBot="1" x14ac:dyDescent="0.4">
      <c r="A35" s="100">
        <v>26</v>
      </c>
      <c r="B35" s="101" t="s">
        <v>247</v>
      </c>
      <c r="C35" s="100" t="s">
        <v>114</v>
      </c>
      <c r="D35" s="100">
        <f>2.6*121</f>
        <v>314.60000000000002</v>
      </c>
      <c r="E35" s="100">
        <v>0</v>
      </c>
      <c r="F35" s="100">
        <v>242</v>
      </c>
      <c r="G35" s="102"/>
      <c r="H35" s="103"/>
      <c r="I35" s="103">
        <v>46296</v>
      </c>
      <c r="J35" s="103" t="s">
        <v>248</v>
      </c>
      <c r="K35" s="104"/>
    </row>
    <row r="36" spans="1:11" ht="21.5" thickBot="1" x14ac:dyDescent="0.4">
      <c r="A36" s="100">
        <v>27</v>
      </c>
      <c r="B36" s="101" t="s">
        <v>249</v>
      </c>
      <c r="C36" s="100" t="s">
        <v>114</v>
      </c>
      <c r="D36" s="100">
        <v>310</v>
      </c>
      <c r="E36" s="100">
        <v>0</v>
      </c>
      <c r="F36" s="100">
        <v>280</v>
      </c>
      <c r="G36" s="102"/>
      <c r="H36" s="103"/>
      <c r="I36" s="103">
        <v>46327</v>
      </c>
      <c r="J36" s="103" t="s">
        <v>250</v>
      </c>
      <c r="K36" s="104"/>
    </row>
    <row r="37" spans="1:11" ht="21.5" thickBot="1" x14ac:dyDescent="0.4">
      <c r="A37" s="100">
        <v>28</v>
      </c>
      <c r="B37" s="101" t="s">
        <v>182</v>
      </c>
      <c r="C37" s="100" t="s">
        <v>114</v>
      </c>
      <c r="D37" s="100">
        <v>97</v>
      </c>
      <c r="E37" s="100">
        <v>0</v>
      </c>
      <c r="F37" s="100">
        <v>96</v>
      </c>
      <c r="G37" s="102"/>
      <c r="H37" s="103"/>
      <c r="I37" s="103">
        <v>46327</v>
      </c>
      <c r="J37" s="103" t="s">
        <v>250</v>
      </c>
      <c r="K37" s="104"/>
    </row>
    <row r="38" spans="1:11" ht="21.5" thickBot="1" x14ac:dyDescent="0.4">
      <c r="A38" s="267" t="s">
        <v>251</v>
      </c>
      <c r="B38" s="267"/>
      <c r="C38" s="267"/>
      <c r="D38" s="267"/>
      <c r="E38" s="267"/>
      <c r="F38" s="267"/>
      <c r="G38" s="267"/>
      <c r="H38" s="267"/>
      <c r="I38" s="267"/>
      <c r="J38" s="267"/>
      <c r="K38" s="268"/>
    </row>
    <row r="39" spans="1:11" ht="15" thickBot="1" x14ac:dyDescent="0.4">
      <c r="A39" s="269" t="s">
        <v>100</v>
      </c>
      <c r="B39" s="269" t="s">
        <v>101</v>
      </c>
      <c r="C39" s="270" t="s">
        <v>102</v>
      </c>
      <c r="D39" s="270" t="s">
        <v>103</v>
      </c>
      <c r="E39" s="270" t="s">
        <v>104</v>
      </c>
      <c r="F39" s="269" t="s">
        <v>105</v>
      </c>
      <c r="G39" s="269" t="s">
        <v>106</v>
      </c>
      <c r="H39" s="269" t="s">
        <v>107</v>
      </c>
      <c r="I39" s="270" t="s">
        <v>108</v>
      </c>
      <c r="J39" s="272" t="s">
        <v>109</v>
      </c>
      <c r="K39" s="273" t="s">
        <v>97</v>
      </c>
    </row>
    <row r="40" spans="1:11" ht="66.650000000000006" customHeight="1" thickBot="1" x14ac:dyDescent="0.4">
      <c r="A40" s="269"/>
      <c r="B40" s="269"/>
      <c r="C40" s="271"/>
      <c r="D40" s="271"/>
      <c r="E40" s="271"/>
      <c r="F40" s="269"/>
      <c r="G40" s="269"/>
      <c r="H40" s="269"/>
      <c r="I40" s="271"/>
      <c r="J40" s="272"/>
      <c r="K40" s="274"/>
    </row>
    <row r="41" spans="1:11" ht="21.5" thickBot="1" x14ac:dyDescent="0.4">
      <c r="A41" s="84">
        <v>1</v>
      </c>
      <c r="B41" s="85" t="s">
        <v>110</v>
      </c>
      <c r="C41" s="84" t="s">
        <v>111</v>
      </c>
      <c r="D41" s="84">
        <v>63</v>
      </c>
      <c r="E41" s="84">
        <v>63</v>
      </c>
      <c r="F41" s="84">
        <f t="shared" ref="F41:F54" si="1">D41-E41</f>
        <v>0</v>
      </c>
      <c r="G41" s="84"/>
      <c r="H41" s="88"/>
      <c r="I41" s="88"/>
      <c r="J41" s="91"/>
      <c r="K41" s="111"/>
    </row>
    <row r="42" spans="1:11" ht="21.5" thickBot="1" x14ac:dyDescent="0.4">
      <c r="A42" s="84">
        <v>2</v>
      </c>
      <c r="B42" s="112" t="s">
        <v>113</v>
      </c>
      <c r="C42" s="84" t="s">
        <v>114</v>
      </c>
      <c r="D42" s="84">
        <v>180</v>
      </c>
      <c r="E42" s="84">
        <v>180</v>
      </c>
      <c r="F42" s="84">
        <f t="shared" si="1"/>
        <v>0</v>
      </c>
      <c r="G42" s="86">
        <f>F42/31</f>
        <v>0</v>
      </c>
      <c r="H42" s="87"/>
      <c r="I42" s="91"/>
      <c r="J42" s="91"/>
      <c r="K42" s="84"/>
    </row>
    <row r="43" spans="1:11" ht="21.5" thickBot="1" x14ac:dyDescent="0.4">
      <c r="A43" s="84">
        <v>4</v>
      </c>
      <c r="B43" s="112" t="s">
        <v>117</v>
      </c>
      <c r="C43" s="84" t="s">
        <v>114</v>
      </c>
      <c r="D43" s="84">
        <v>200</v>
      </c>
      <c r="E43" s="84">
        <v>120</v>
      </c>
      <c r="F43" s="84">
        <f t="shared" si="1"/>
        <v>80</v>
      </c>
      <c r="G43" s="86">
        <f>F43/40</f>
        <v>2</v>
      </c>
      <c r="H43" s="87"/>
      <c r="I43" s="91">
        <v>46317</v>
      </c>
      <c r="J43" s="113">
        <v>46336</v>
      </c>
      <c r="K43" s="114"/>
    </row>
    <row r="44" spans="1:11" ht="42.5" thickBot="1" x14ac:dyDescent="0.4">
      <c r="A44" s="84">
        <v>5</v>
      </c>
      <c r="B44" s="112" t="s">
        <v>252</v>
      </c>
      <c r="C44" s="84" t="s">
        <v>126</v>
      </c>
      <c r="D44" s="84">
        <v>6</v>
      </c>
      <c r="E44" s="84">
        <v>6</v>
      </c>
      <c r="F44" s="84">
        <f t="shared" si="1"/>
        <v>0</v>
      </c>
      <c r="G44" s="86">
        <f>F44/1</f>
        <v>0</v>
      </c>
      <c r="H44" s="87"/>
      <c r="I44" s="91"/>
      <c r="J44" s="91"/>
      <c r="K44" s="114"/>
    </row>
    <row r="45" spans="1:11" ht="21.5" thickBot="1" x14ac:dyDescent="0.4">
      <c r="A45" s="84">
        <v>6</v>
      </c>
      <c r="B45" s="112" t="s">
        <v>185</v>
      </c>
      <c r="C45" s="84" t="s">
        <v>126</v>
      </c>
      <c r="D45" s="84">
        <v>52</v>
      </c>
      <c r="E45" s="84">
        <v>52</v>
      </c>
      <c r="F45" s="84">
        <f t="shared" si="1"/>
        <v>0</v>
      </c>
      <c r="G45" s="86">
        <f>F45/24</f>
        <v>0</v>
      </c>
      <c r="H45" s="87"/>
      <c r="I45" s="91"/>
      <c r="J45" s="91"/>
      <c r="K45" s="114"/>
    </row>
    <row r="46" spans="1:11" ht="21.5" thickBot="1" x14ac:dyDescent="0.4">
      <c r="A46" s="74">
        <v>7</v>
      </c>
      <c r="B46" s="80" t="s">
        <v>186</v>
      </c>
      <c r="C46" s="74" t="s">
        <v>114</v>
      </c>
      <c r="D46" s="74">
        <v>990</v>
      </c>
      <c r="E46" s="74">
        <v>0</v>
      </c>
      <c r="F46" s="74">
        <f t="shared" si="1"/>
        <v>990</v>
      </c>
      <c r="G46" s="76">
        <f>F46/40</f>
        <v>24.75</v>
      </c>
      <c r="H46" s="115"/>
      <c r="I46" s="78" t="s">
        <v>137</v>
      </c>
      <c r="J46" s="81" t="s">
        <v>253</v>
      </c>
      <c r="K46" s="82"/>
    </row>
    <row r="47" spans="1:11" ht="21.5" thickBot="1" x14ac:dyDescent="0.4">
      <c r="A47" s="74">
        <v>8</v>
      </c>
      <c r="B47" s="80" t="s">
        <v>187</v>
      </c>
      <c r="C47" s="74" t="s">
        <v>114</v>
      </c>
      <c r="D47" s="74">
        <v>90</v>
      </c>
      <c r="E47" s="74">
        <v>45</v>
      </c>
      <c r="F47" s="74">
        <f t="shared" si="1"/>
        <v>45</v>
      </c>
      <c r="G47" s="76"/>
      <c r="H47" s="115"/>
      <c r="I47" s="78" t="s">
        <v>137</v>
      </c>
      <c r="J47" s="81" t="s">
        <v>254</v>
      </c>
      <c r="K47" s="82"/>
    </row>
    <row r="48" spans="1:11" ht="21.5" thickBot="1" x14ac:dyDescent="0.4">
      <c r="A48" s="74">
        <v>9</v>
      </c>
      <c r="B48" s="80" t="s">
        <v>188</v>
      </c>
      <c r="C48" s="74" t="s">
        <v>114</v>
      </c>
      <c r="D48" s="74">
        <v>90</v>
      </c>
      <c r="E48" s="74"/>
      <c r="F48" s="74"/>
      <c r="G48" s="76"/>
      <c r="H48" s="81"/>
      <c r="I48" s="78">
        <v>46032</v>
      </c>
      <c r="J48" s="78">
        <v>46305</v>
      </c>
      <c r="K48" s="82" t="s">
        <v>255</v>
      </c>
    </row>
    <row r="49" spans="1:11" ht="21.5" thickBot="1" x14ac:dyDescent="0.4">
      <c r="A49" s="74">
        <v>10</v>
      </c>
      <c r="B49" s="75" t="s">
        <v>190</v>
      </c>
      <c r="C49" s="74" t="s">
        <v>126</v>
      </c>
      <c r="D49" s="74">
        <v>3</v>
      </c>
      <c r="E49" s="74">
        <v>1</v>
      </c>
      <c r="F49" s="74">
        <f t="shared" si="1"/>
        <v>2</v>
      </c>
      <c r="G49" s="76">
        <f>F49/1</f>
        <v>2</v>
      </c>
      <c r="H49" s="81" t="s">
        <v>161</v>
      </c>
      <c r="I49" s="78">
        <v>46063</v>
      </c>
      <c r="J49" s="78">
        <v>46244</v>
      </c>
      <c r="K49" s="82"/>
    </row>
    <row r="50" spans="1:11" ht="21.5" thickBot="1" x14ac:dyDescent="0.5">
      <c r="A50" s="74">
        <v>11</v>
      </c>
      <c r="B50" s="80" t="s">
        <v>191</v>
      </c>
      <c r="C50" s="74" t="s">
        <v>114</v>
      </c>
      <c r="D50" s="74">
        <v>250</v>
      </c>
      <c r="E50" s="74">
        <v>150</v>
      </c>
      <c r="F50" s="74">
        <f t="shared" si="1"/>
        <v>100</v>
      </c>
      <c r="G50" s="76">
        <f>F50/24</f>
        <v>4.166666666666667</v>
      </c>
      <c r="H50" s="81" t="s">
        <v>161</v>
      </c>
      <c r="I50" s="78">
        <v>46152</v>
      </c>
      <c r="J50" s="77">
        <v>46305</v>
      </c>
      <c r="K50" s="90"/>
    </row>
    <row r="51" spans="1:11" ht="21.5" thickBot="1" x14ac:dyDescent="0.4">
      <c r="A51" s="74">
        <v>12</v>
      </c>
      <c r="B51" s="80" t="s">
        <v>193</v>
      </c>
      <c r="C51" s="74" t="s">
        <v>114</v>
      </c>
      <c r="D51" s="74">
        <v>390</v>
      </c>
      <c r="E51" s="74">
        <v>0</v>
      </c>
      <c r="F51" s="74">
        <f t="shared" si="1"/>
        <v>390</v>
      </c>
      <c r="G51" s="76">
        <f>F51/40</f>
        <v>9.75</v>
      </c>
      <c r="H51" s="81"/>
      <c r="I51" s="78" t="s">
        <v>256</v>
      </c>
      <c r="J51" s="81" t="s">
        <v>250</v>
      </c>
      <c r="K51" s="82"/>
    </row>
    <row r="52" spans="1:11" ht="21.5" thickBot="1" x14ac:dyDescent="0.4">
      <c r="A52" s="74">
        <v>13</v>
      </c>
      <c r="B52" s="80" t="s">
        <v>257</v>
      </c>
      <c r="C52" s="74" t="s">
        <v>126</v>
      </c>
      <c r="D52" s="74">
        <v>6</v>
      </c>
      <c r="E52" s="74">
        <v>0</v>
      </c>
      <c r="F52" s="74">
        <f t="shared" si="1"/>
        <v>6</v>
      </c>
      <c r="G52" s="76"/>
      <c r="H52" s="81"/>
      <c r="I52" s="78" t="s">
        <v>256</v>
      </c>
      <c r="J52" s="81" t="s">
        <v>258</v>
      </c>
      <c r="K52" s="82"/>
    </row>
    <row r="53" spans="1:11" ht="21.5" thickBot="1" x14ac:dyDescent="0.4">
      <c r="A53" s="92">
        <v>14</v>
      </c>
      <c r="B53" s="116" t="s">
        <v>13</v>
      </c>
      <c r="C53" s="92" t="s">
        <v>144</v>
      </c>
      <c r="D53" s="92">
        <v>16</v>
      </c>
      <c r="E53" s="92">
        <v>0</v>
      </c>
      <c r="F53" s="92">
        <f t="shared" si="1"/>
        <v>16</v>
      </c>
      <c r="G53" s="94"/>
      <c r="H53" s="117"/>
      <c r="I53" s="118">
        <v>46033</v>
      </c>
      <c r="J53" s="118">
        <v>46153</v>
      </c>
      <c r="K53" s="119"/>
    </row>
    <row r="54" spans="1:11" ht="21.5" thickBot="1" x14ac:dyDescent="0.4">
      <c r="A54" s="84">
        <v>15</v>
      </c>
      <c r="B54" s="85" t="s">
        <v>197</v>
      </c>
      <c r="C54" s="84" t="s">
        <v>144</v>
      </c>
      <c r="D54" s="84">
        <v>4</v>
      </c>
      <c r="E54" s="84">
        <v>4</v>
      </c>
      <c r="F54" s="84">
        <f t="shared" si="1"/>
        <v>0</v>
      </c>
      <c r="G54" s="86">
        <f>F54/1</f>
        <v>0</v>
      </c>
      <c r="H54" s="87"/>
      <c r="I54" s="91"/>
      <c r="J54" s="91"/>
      <c r="K54" s="114"/>
    </row>
    <row r="55" spans="1:11" ht="21.5" thickBot="1" x14ac:dyDescent="0.4">
      <c r="A55" s="74">
        <v>16</v>
      </c>
      <c r="B55" s="75" t="s">
        <v>198</v>
      </c>
      <c r="C55" s="74" t="s">
        <v>144</v>
      </c>
      <c r="D55" s="74">
        <v>380</v>
      </c>
      <c r="E55" s="74">
        <v>0</v>
      </c>
      <c r="F55" s="74">
        <v>380</v>
      </c>
      <c r="G55" s="76"/>
      <c r="H55" s="120"/>
      <c r="I55" s="121">
        <v>46336</v>
      </c>
      <c r="J55" s="121" t="s">
        <v>258</v>
      </c>
      <c r="K55" s="122"/>
    </row>
    <row r="56" spans="1:11" ht="42.5" thickBot="1" x14ac:dyDescent="0.4">
      <c r="A56" s="74">
        <v>17</v>
      </c>
      <c r="B56" s="80" t="s">
        <v>199</v>
      </c>
      <c r="C56" s="74" t="s">
        <v>126</v>
      </c>
      <c r="D56" s="74">
        <v>11</v>
      </c>
      <c r="E56" s="74">
        <v>0</v>
      </c>
      <c r="F56" s="74">
        <v>0</v>
      </c>
      <c r="G56" s="76"/>
      <c r="H56" s="120"/>
      <c r="I56" s="121">
        <v>46305</v>
      </c>
      <c r="J56" s="121" t="s">
        <v>258</v>
      </c>
      <c r="K56" s="122"/>
    </row>
    <row r="57" spans="1:11" ht="21.5" thickBot="1" x14ac:dyDescent="0.4">
      <c r="A57" s="74">
        <v>18</v>
      </c>
      <c r="B57" s="80" t="s">
        <v>259</v>
      </c>
      <c r="C57" s="74" t="s">
        <v>126</v>
      </c>
      <c r="D57" s="74">
        <v>180</v>
      </c>
      <c r="E57" s="74">
        <v>0</v>
      </c>
      <c r="F57" s="74">
        <v>0</v>
      </c>
      <c r="G57" s="76"/>
      <c r="H57" s="120"/>
      <c r="I57" s="121">
        <v>46305</v>
      </c>
      <c r="J57" s="121" t="s">
        <v>250</v>
      </c>
      <c r="K57" s="122"/>
    </row>
    <row r="58" spans="1:11" ht="42.5" thickBot="1" x14ac:dyDescent="0.4">
      <c r="A58" s="74">
        <v>19</v>
      </c>
      <c r="B58" s="80" t="s">
        <v>201</v>
      </c>
      <c r="C58" s="74" t="s">
        <v>114</v>
      </c>
      <c r="D58" s="74">
        <v>170</v>
      </c>
      <c r="E58" s="74">
        <v>0</v>
      </c>
      <c r="F58" s="74">
        <v>0</v>
      </c>
      <c r="G58" s="76"/>
      <c r="H58" s="120"/>
      <c r="I58" s="121">
        <v>46305</v>
      </c>
      <c r="J58" s="121" t="s">
        <v>250</v>
      </c>
      <c r="K58" s="122"/>
    </row>
    <row r="59" spans="1:11" ht="21.5" thickBot="1" x14ac:dyDescent="0.4">
      <c r="A59" s="267" t="s">
        <v>260</v>
      </c>
      <c r="B59" s="267"/>
      <c r="C59" s="267"/>
      <c r="D59" s="267"/>
      <c r="E59" s="267"/>
      <c r="F59" s="267"/>
      <c r="G59" s="267"/>
      <c r="H59" s="267"/>
      <c r="I59" s="267"/>
      <c r="J59" s="267"/>
      <c r="K59" s="268"/>
    </row>
    <row r="60" spans="1:11" ht="15" thickBot="1" x14ac:dyDescent="0.4">
      <c r="A60" s="269" t="s">
        <v>100</v>
      </c>
      <c r="B60" s="269" t="s">
        <v>101</v>
      </c>
      <c r="C60" s="270" t="s">
        <v>102</v>
      </c>
      <c r="D60" s="270" t="s">
        <v>103</v>
      </c>
      <c r="E60" s="270" t="s">
        <v>104</v>
      </c>
      <c r="F60" s="269" t="s">
        <v>105</v>
      </c>
      <c r="G60" s="269" t="s">
        <v>106</v>
      </c>
      <c r="H60" s="269" t="s">
        <v>107</v>
      </c>
      <c r="I60" s="270" t="s">
        <v>108</v>
      </c>
      <c r="J60" s="272" t="s">
        <v>109</v>
      </c>
      <c r="K60" s="273" t="s">
        <v>97</v>
      </c>
    </row>
    <row r="61" spans="1:11" ht="15" thickBot="1" x14ac:dyDescent="0.4">
      <c r="A61" s="269"/>
      <c r="B61" s="269"/>
      <c r="C61" s="271"/>
      <c r="D61" s="271"/>
      <c r="E61" s="271"/>
      <c r="F61" s="269"/>
      <c r="G61" s="269"/>
      <c r="H61" s="269"/>
      <c r="I61" s="271"/>
      <c r="J61" s="272"/>
      <c r="K61" s="274"/>
    </row>
    <row r="62" spans="1:11" ht="21.5" thickBot="1" x14ac:dyDescent="0.4">
      <c r="A62" s="84">
        <v>2</v>
      </c>
      <c r="B62" s="112" t="s">
        <v>113</v>
      </c>
      <c r="C62" s="84" t="s">
        <v>114</v>
      </c>
      <c r="D62" s="84">
        <v>750</v>
      </c>
      <c r="E62" s="84">
        <v>700</v>
      </c>
      <c r="F62" s="84">
        <f>D62-E62</f>
        <v>50</v>
      </c>
      <c r="G62" s="86"/>
      <c r="H62" s="87"/>
      <c r="I62" s="91"/>
      <c r="J62" s="91"/>
      <c r="K62" s="114" t="s">
        <v>261</v>
      </c>
    </row>
    <row r="63" spans="1:11" ht="21.5" thickBot="1" x14ac:dyDescent="0.4">
      <c r="A63" s="74">
        <v>3</v>
      </c>
      <c r="B63" s="80" t="s">
        <v>147</v>
      </c>
      <c r="C63" s="74" t="s">
        <v>114</v>
      </c>
      <c r="D63" s="74">
        <v>90</v>
      </c>
      <c r="E63" s="74">
        <v>0</v>
      </c>
      <c r="F63" s="74">
        <f>D63-E63</f>
        <v>90</v>
      </c>
      <c r="G63" s="76"/>
      <c r="H63" s="81"/>
      <c r="I63" s="78" t="s">
        <v>262</v>
      </c>
      <c r="J63" s="81" t="s">
        <v>246</v>
      </c>
      <c r="K63" s="82"/>
    </row>
    <row r="64" spans="1:11" ht="21.5" thickBot="1" x14ac:dyDescent="0.4">
      <c r="A64" s="74">
        <v>5</v>
      </c>
      <c r="B64" s="80" t="s">
        <v>206</v>
      </c>
      <c r="C64" s="74" t="s">
        <v>114</v>
      </c>
      <c r="D64" s="74">
        <v>113</v>
      </c>
      <c r="E64" s="74">
        <v>0</v>
      </c>
      <c r="F64" s="74">
        <f>D64-E64</f>
        <v>113</v>
      </c>
      <c r="G64" s="76"/>
      <c r="H64" s="81"/>
      <c r="I64" s="78" t="s">
        <v>262</v>
      </c>
      <c r="J64" s="81" t="s">
        <v>246</v>
      </c>
      <c r="K64" s="82"/>
    </row>
    <row r="65" spans="1:11" ht="21.5" thickBot="1" x14ac:dyDescent="0.4">
      <c r="A65" s="92">
        <v>6</v>
      </c>
      <c r="B65" s="116" t="s">
        <v>263</v>
      </c>
      <c r="C65" s="92" t="s">
        <v>144</v>
      </c>
      <c r="D65" s="92">
        <v>45</v>
      </c>
      <c r="E65" s="92"/>
      <c r="F65" s="92"/>
      <c r="G65" s="94"/>
      <c r="H65" s="117"/>
      <c r="I65" s="118">
        <v>46305</v>
      </c>
      <c r="J65" s="118" t="s">
        <v>258</v>
      </c>
      <c r="K65" s="119" t="s">
        <v>264</v>
      </c>
    </row>
    <row r="66" spans="1:11" ht="21.5" thickBot="1" x14ac:dyDescent="0.5">
      <c r="A66" s="74">
        <v>6</v>
      </c>
      <c r="B66" s="80" t="s">
        <v>208</v>
      </c>
      <c r="C66" s="74" t="s">
        <v>114</v>
      </c>
      <c r="D66" s="74">
        <v>135</v>
      </c>
      <c r="E66" s="74">
        <v>0</v>
      </c>
      <c r="F66" s="74">
        <f>D66-E66</f>
        <v>135</v>
      </c>
      <c r="G66" s="76"/>
      <c r="H66" s="81"/>
      <c r="I66" s="78" t="s">
        <v>256</v>
      </c>
      <c r="J66" s="78" t="s">
        <v>248</v>
      </c>
      <c r="K66" s="90"/>
    </row>
    <row r="67" spans="1:11" ht="21.5" thickBot="1" x14ac:dyDescent="0.4">
      <c r="A67" s="74">
        <v>7</v>
      </c>
      <c r="B67" s="80" t="s">
        <v>193</v>
      </c>
      <c r="C67" s="74" t="s">
        <v>114</v>
      </c>
      <c r="D67" s="74">
        <v>750</v>
      </c>
      <c r="E67" s="74"/>
      <c r="F67" s="74"/>
      <c r="G67" s="76"/>
      <c r="H67" s="81"/>
      <c r="I67" s="78">
        <v>46033</v>
      </c>
      <c r="J67" s="78" t="s">
        <v>250</v>
      </c>
      <c r="K67" s="82"/>
    </row>
    <row r="68" spans="1:11" ht="21.5" thickBot="1" x14ac:dyDescent="0.4">
      <c r="A68" s="267" t="s">
        <v>265</v>
      </c>
      <c r="B68" s="267"/>
      <c r="C68" s="267"/>
      <c r="D68" s="267"/>
      <c r="E68" s="267"/>
      <c r="F68" s="267"/>
      <c r="G68" s="267"/>
      <c r="H68" s="267"/>
      <c r="I68" s="267"/>
      <c r="J68" s="267"/>
      <c r="K68" s="268"/>
    </row>
    <row r="69" spans="1:11" ht="15" thickBot="1" x14ac:dyDescent="0.4">
      <c r="A69" s="269" t="s">
        <v>100</v>
      </c>
      <c r="B69" s="269" t="s">
        <v>101</v>
      </c>
      <c r="C69" s="270" t="s">
        <v>102</v>
      </c>
      <c r="D69" s="270" t="s">
        <v>103</v>
      </c>
      <c r="E69" s="270" t="s">
        <v>104</v>
      </c>
      <c r="F69" s="269" t="s">
        <v>105</v>
      </c>
      <c r="G69" s="269" t="s">
        <v>106</v>
      </c>
      <c r="H69" s="269" t="s">
        <v>107</v>
      </c>
      <c r="I69" s="270" t="s">
        <v>108</v>
      </c>
      <c r="J69" s="272" t="s">
        <v>109</v>
      </c>
      <c r="K69" s="273" t="s">
        <v>97</v>
      </c>
    </row>
    <row r="70" spans="1:11" ht="15" thickBot="1" x14ac:dyDescent="0.4">
      <c r="A70" s="269"/>
      <c r="B70" s="269"/>
      <c r="C70" s="271"/>
      <c r="D70" s="271"/>
      <c r="E70" s="271"/>
      <c r="F70" s="269"/>
      <c r="G70" s="269"/>
      <c r="H70" s="269"/>
      <c r="I70" s="271"/>
      <c r="J70" s="272"/>
      <c r="K70" s="274"/>
    </row>
    <row r="71" spans="1:11" ht="21.5" thickBot="1" x14ac:dyDescent="0.4">
      <c r="A71" s="84">
        <v>2</v>
      </c>
      <c r="B71" s="112" t="s">
        <v>113</v>
      </c>
      <c r="C71" s="84" t="s">
        <v>114</v>
      </c>
      <c r="D71" s="84">
        <v>750</v>
      </c>
      <c r="E71" s="84">
        <v>700</v>
      </c>
      <c r="F71" s="84">
        <f>D71-E71</f>
        <v>50</v>
      </c>
      <c r="G71" s="86"/>
      <c r="H71" s="87"/>
      <c r="I71" s="91"/>
      <c r="J71" s="91"/>
      <c r="K71" s="114" t="s">
        <v>261</v>
      </c>
    </row>
    <row r="72" spans="1:11" ht="21.5" thickBot="1" x14ac:dyDescent="0.4">
      <c r="A72" s="74">
        <v>3</v>
      </c>
      <c r="B72" s="80" t="s">
        <v>147</v>
      </c>
      <c r="C72" s="74" t="s">
        <v>114</v>
      </c>
      <c r="D72" s="74">
        <v>90</v>
      </c>
      <c r="E72" s="74">
        <v>0</v>
      </c>
      <c r="F72" s="74">
        <f>D72-E72</f>
        <v>90</v>
      </c>
      <c r="G72" s="76"/>
      <c r="H72" s="81"/>
      <c r="I72" s="78" t="s">
        <v>266</v>
      </c>
      <c r="J72" s="78">
        <v>46213</v>
      </c>
      <c r="K72" s="82"/>
    </row>
    <row r="73" spans="1:11" ht="21.5" thickBot="1" x14ac:dyDescent="0.4">
      <c r="A73" s="74">
        <v>5</v>
      </c>
      <c r="B73" s="80" t="s">
        <v>206</v>
      </c>
      <c r="C73" s="74" t="s">
        <v>114</v>
      </c>
      <c r="D73" s="74">
        <v>113</v>
      </c>
      <c r="E73" s="74">
        <v>0</v>
      </c>
      <c r="F73" s="74">
        <f>D73-E73</f>
        <v>113</v>
      </c>
      <c r="G73" s="76"/>
      <c r="H73" s="81"/>
      <c r="I73" s="78" t="s">
        <v>266</v>
      </c>
      <c r="J73" s="78">
        <v>46213</v>
      </c>
      <c r="K73" s="82"/>
    </row>
    <row r="74" spans="1:11" ht="21.5" thickBot="1" x14ac:dyDescent="0.4">
      <c r="A74" s="92">
        <v>6</v>
      </c>
      <c r="B74" s="116" t="s">
        <v>263</v>
      </c>
      <c r="C74" s="92" t="s">
        <v>144</v>
      </c>
      <c r="D74" s="92">
        <v>45</v>
      </c>
      <c r="E74" s="92"/>
      <c r="F74" s="92"/>
      <c r="G74" s="94"/>
      <c r="H74" s="117"/>
      <c r="I74" s="118" t="s">
        <v>267</v>
      </c>
      <c r="J74" s="118" t="s">
        <v>248</v>
      </c>
      <c r="K74" s="119" t="s">
        <v>268</v>
      </c>
    </row>
    <row r="75" spans="1:11" ht="21.5" thickBot="1" x14ac:dyDescent="0.5">
      <c r="A75" s="74">
        <v>6</v>
      </c>
      <c r="B75" s="80" t="s">
        <v>208</v>
      </c>
      <c r="C75" s="74" t="s">
        <v>114</v>
      </c>
      <c r="D75" s="74">
        <v>135</v>
      </c>
      <c r="E75" s="74">
        <v>0</v>
      </c>
      <c r="F75" s="74">
        <f>D75-E75</f>
        <v>135</v>
      </c>
      <c r="G75" s="76"/>
      <c r="H75" s="81"/>
      <c r="I75" s="78">
        <v>46033</v>
      </c>
      <c r="J75" s="78" t="s">
        <v>250</v>
      </c>
      <c r="K75" s="90"/>
    </row>
    <row r="76" spans="1:11" ht="21.5" thickBot="1" x14ac:dyDescent="0.4">
      <c r="A76" s="74">
        <v>7</v>
      </c>
      <c r="B76" s="80" t="s">
        <v>193</v>
      </c>
      <c r="C76" s="74" t="s">
        <v>114</v>
      </c>
      <c r="D76" s="74">
        <v>750</v>
      </c>
      <c r="E76" s="74"/>
      <c r="F76" s="74"/>
      <c r="G76" s="76"/>
      <c r="H76" s="81"/>
      <c r="I76" s="78" t="s">
        <v>250</v>
      </c>
      <c r="J76" s="78" t="s">
        <v>269</v>
      </c>
      <c r="K76" s="82"/>
    </row>
  </sheetData>
  <mergeCells count="48">
    <mergeCell ref="J69:J70"/>
    <mergeCell ref="K69:K70"/>
    <mergeCell ref="A68:K68"/>
    <mergeCell ref="A69:A70"/>
    <mergeCell ref="B69:B70"/>
    <mergeCell ref="C69:C70"/>
    <mergeCell ref="D69:D70"/>
    <mergeCell ref="E69:E70"/>
    <mergeCell ref="F69:F70"/>
    <mergeCell ref="G69:G70"/>
    <mergeCell ref="H69:H70"/>
    <mergeCell ref="I69:I70"/>
    <mergeCell ref="K60:K61"/>
    <mergeCell ref="H39:H40"/>
    <mergeCell ref="I39:I40"/>
    <mergeCell ref="J39:J40"/>
    <mergeCell ref="K39:K40"/>
    <mergeCell ref="A59:K59"/>
    <mergeCell ref="A60:A61"/>
    <mergeCell ref="B60:B61"/>
    <mergeCell ref="C60:C61"/>
    <mergeCell ref="D60:D61"/>
    <mergeCell ref="E60:E61"/>
    <mergeCell ref="F60:F61"/>
    <mergeCell ref="G60:G61"/>
    <mergeCell ref="H60:H61"/>
    <mergeCell ref="I60:I61"/>
    <mergeCell ref="J60:J61"/>
    <mergeCell ref="A38:K38"/>
    <mergeCell ref="A39:A40"/>
    <mergeCell ref="B39:B40"/>
    <mergeCell ref="C39:C40"/>
    <mergeCell ref="D39:D40"/>
    <mergeCell ref="E39:E40"/>
    <mergeCell ref="F39:F40"/>
    <mergeCell ref="G39:G40"/>
    <mergeCell ref="A1:K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</mergeCells>
  <pageMargins left="0.7" right="0.7" top="0.75" bottom="0.75" header="0.3" footer="0.3"/>
  <headerFooter>
    <oddFooter>&amp;L_x000D_&amp;1#&amp;"Aptos"&amp;8&amp;K000000 Sensitivity: LNT Construction Internal Use</oddFooter>
  </headerFooter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53EC5-59EC-4B57-8732-DAF98F8B81F3}">
  <sheetPr>
    <tabColor theme="7"/>
    <pageSetUpPr fitToPage="1"/>
  </sheetPr>
  <dimension ref="B1:AC74"/>
  <sheetViews>
    <sheetView showGridLines="0" zoomScale="62" zoomScaleNormal="70" zoomScaleSheetLayoutView="80" workbookViewId="0">
      <pane xSplit="6" ySplit="4" topLeftCell="G32" activePane="bottomRight" state="frozen"/>
      <selection pane="topRight" activeCell="I1" sqref="I1"/>
      <selection pane="bottomLeft" activeCell="A5" sqref="A5"/>
      <selection pane="bottomRight" activeCell="A13" sqref="A13:XFD13"/>
    </sheetView>
  </sheetViews>
  <sheetFormatPr defaultColWidth="2.75" defaultRowHeight="30" customHeight="1" x14ac:dyDescent="0.4"/>
  <cols>
    <col min="1" max="1" width="2.58203125" customWidth="1"/>
    <col min="2" max="2" width="27.33203125" style="2" customWidth="1"/>
    <col min="3" max="3" width="15.33203125" style="1" customWidth="1"/>
    <col min="4" max="4" width="13.33203125" customWidth="1"/>
    <col min="5" max="5" width="15.58203125" style="3" customWidth="1"/>
    <col min="6" max="6" width="33.08203125" style="3" customWidth="1"/>
    <col min="7" max="7" width="8.58203125" style="1" bestFit="1" customWidth="1"/>
    <col min="8" max="10" width="8.25" style="1" bestFit="1" customWidth="1"/>
    <col min="11" max="11" width="8.58203125" style="1" bestFit="1" customWidth="1"/>
    <col min="12" max="12" width="8.25" style="1" bestFit="1" customWidth="1"/>
    <col min="13" max="13" width="8.58203125" style="1" bestFit="1" customWidth="1"/>
    <col min="14" max="14" width="8.25" style="1" bestFit="1" customWidth="1"/>
    <col min="15" max="15" width="8.58203125" style="1" bestFit="1" customWidth="1"/>
    <col min="16" max="23" width="9.5" style="1" bestFit="1" customWidth="1"/>
  </cols>
  <sheetData>
    <row r="1" spans="2:29" ht="30.75" customHeight="1" x14ac:dyDescent="1.2">
      <c r="B1" s="47" t="s">
        <v>285</v>
      </c>
      <c r="C1" s="48"/>
      <c r="D1" s="49"/>
      <c r="E1" s="48"/>
      <c r="F1" s="48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5"/>
      <c r="U1" s="45"/>
      <c r="V1" s="45"/>
      <c r="W1" s="46"/>
      <c r="X1" s="21"/>
      <c r="Y1" s="14"/>
      <c r="Z1" s="14"/>
      <c r="AA1" s="14"/>
      <c r="AB1" s="14"/>
      <c r="AC1" s="14"/>
    </row>
    <row r="2" spans="2:29" ht="32" x14ac:dyDescent="0.4">
      <c r="B2" s="37"/>
      <c r="C2" s="37"/>
      <c r="D2" s="37"/>
      <c r="E2" s="38" t="s">
        <v>2</v>
      </c>
      <c r="F2" s="38"/>
      <c r="G2" s="39">
        <v>46296</v>
      </c>
      <c r="H2" s="40"/>
      <c r="I2" s="41"/>
      <c r="J2" s="42" t="s">
        <v>5</v>
      </c>
      <c r="K2" s="42"/>
      <c r="L2" s="43"/>
      <c r="M2" s="261" t="s">
        <v>32</v>
      </c>
      <c r="N2" s="261"/>
      <c r="O2" s="261"/>
      <c r="P2" s="21"/>
      <c r="Q2" s="21"/>
      <c r="R2" s="21"/>
      <c r="S2" s="21"/>
      <c r="T2" s="21"/>
      <c r="U2" s="21"/>
      <c r="V2" s="21"/>
      <c r="W2" s="21"/>
      <c r="X2" s="21"/>
      <c r="Y2" s="14"/>
      <c r="Z2" s="14"/>
      <c r="AA2" s="14"/>
      <c r="AB2" s="14"/>
      <c r="AC2" s="14"/>
    </row>
    <row r="3" spans="2:29" s="11" customFormat="1" ht="16" x14ac:dyDescent="0.4">
      <c r="B3" s="247" t="s">
        <v>1</v>
      </c>
      <c r="C3" s="248" t="s">
        <v>3</v>
      </c>
      <c r="D3" s="248" t="s">
        <v>31</v>
      </c>
      <c r="E3" s="248" t="s">
        <v>4</v>
      </c>
      <c r="F3" s="248" t="s">
        <v>97</v>
      </c>
      <c r="G3" s="12" t="s">
        <v>0</v>
      </c>
      <c r="H3" s="13"/>
      <c r="I3" s="24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</row>
    <row r="4" spans="2:29" ht="38.15" customHeight="1" x14ac:dyDescent="0.35">
      <c r="B4" s="247"/>
      <c r="C4" s="248"/>
      <c r="D4" s="248"/>
      <c r="E4" s="248"/>
      <c r="F4" s="248"/>
      <c r="G4" s="22">
        <v>45901</v>
      </c>
      <c r="H4" s="22">
        <f>EDATE(G4,1)</f>
        <v>45931</v>
      </c>
      <c r="I4" s="22">
        <f t="shared" ref="I4:V4" si="0">EDATE(H4,1)</f>
        <v>45962</v>
      </c>
      <c r="J4" s="22">
        <f t="shared" si="0"/>
        <v>45992</v>
      </c>
      <c r="K4" s="22">
        <f t="shared" si="0"/>
        <v>46023</v>
      </c>
      <c r="L4" s="22">
        <f t="shared" si="0"/>
        <v>46054</v>
      </c>
      <c r="M4" s="22">
        <f t="shared" si="0"/>
        <v>46082</v>
      </c>
      <c r="N4" s="22">
        <f t="shared" si="0"/>
        <v>46113</v>
      </c>
      <c r="O4" s="22">
        <f t="shared" si="0"/>
        <v>46143</v>
      </c>
      <c r="P4" s="22">
        <f t="shared" si="0"/>
        <v>46174</v>
      </c>
      <c r="Q4" s="22">
        <f t="shared" si="0"/>
        <v>46204</v>
      </c>
      <c r="R4" s="22">
        <f t="shared" si="0"/>
        <v>46235</v>
      </c>
      <c r="S4" s="22">
        <f t="shared" si="0"/>
        <v>46266</v>
      </c>
      <c r="T4" s="22">
        <f t="shared" si="0"/>
        <v>46296</v>
      </c>
      <c r="U4" s="22">
        <f t="shared" si="0"/>
        <v>46327</v>
      </c>
      <c r="V4" s="22">
        <f t="shared" si="0"/>
        <v>46357</v>
      </c>
      <c r="W4" s="23"/>
    </row>
    <row r="5" spans="2:29" ht="23" x14ac:dyDescent="0.35">
      <c r="B5" s="8" t="s">
        <v>6</v>
      </c>
      <c r="C5" s="7"/>
      <c r="D5" s="1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2:29" ht="42" customHeight="1" x14ac:dyDescent="0.35">
      <c r="B6" s="25" t="s">
        <v>210</v>
      </c>
      <c r="C6" s="34">
        <v>46280</v>
      </c>
      <c r="D6" s="34">
        <v>46310</v>
      </c>
      <c r="E6" s="35">
        <v>0.25</v>
      </c>
      <c r="F6" s="35"/>
    </row>
    <row r="7" spans="2:29" ht="42" customHeight="1" x14ac:dyDescent="0.35">
      <c r="B7" s="25" t="s">
        <v>211</v>
      </c>
      <c r="C7" s="34">
        <v>46266</v>
      </c>
      <c r="D7" s="34">
        <v>46305</v>
      </c>
      <c r="E7" s="35">
        <v>0.05</v>
      </c>
      <c r="F7" s="35"/>
    </row>
    <row r="8" spans="2:29" ht="42" customHeight="1" x14ac:dyDescent="0.35">
      <c r="B8" s="25" t="s">
        <v>212</v>
      </c>
      <c r="C8" s="34">
        <v>46267</v>
      </c>
      <c r="D8" s="34">
        <v>46356</v>
      </c>
      <c r="E8" s="35">
        <v>0.19</v>
      </c>
      <c r="F8" s="35"/>
    </row>
    <row r="9" spans="2:29" ht="30" customHeight="1" x14ac:dyDescent="0.35">
      <c r="B9" s="4" t="s">
        <v>7</v>
      </c>
      <c r="C9" s="5"/>
      <c r="D9" s="5"/>
      <c r="E9" s="6"/>
      <c r="F9" s="6"/>
    </row>
    <row r="10" spans="2:29" ht="42" customHeight="1" x14ac:dyDescent="0.35">
      <c r="B10" s="25" t="s">
        <v>8</v>
      </c>
      <c r="C10" s="34">
        <v>45938</v>
      </c>
      <c r="D10" s="34">
        <v>46320</v>
      </c>
      <c r="E10" s="35">
        <v>0.95</v>
      </c>
      <c r="F10" s="35"/>
    </row>
    <row r="11" spans="2:29" ht="30" customHeight="1" x14ac:dyDescent="0.35">
      <c r="B11" s="25" t="s">
        <v>9</v>
      </c>
      <c r="C11" s="34">
        <v>46032</v>
      </c>
      <c r="D11" s="34">
        <v>46336</v>
      </c>
      <c r="E11" s="35">
        <v>0.75</v>
      </c>
      <c r="F11" s="35"/>
    </row>
    <row r="12" spans="2:29" ht="30" customHeight="1" x14ac:dyDescent="0.35">
      <c r="B12" s="25" t="s">
        <v>291</v>
      </c>
      <c r="C12" s="34">
        <v>46102</v>
      </c>
      <c r="D12" s="34">
        <v>46371</v>
      </c>
      <c r="E12" s="35">
        <v>0.55000000000000004</v>
      </c>
      <c r="F12" s="35"/>
    </row>
    <row r="13" spans="2:29" ht="18.5" x14ac:dyDescent="0.35">
      <c r="B13" s="25" t="s">
        <v>10</v>
      </c>
      <c r="C13" s="34">
        <v>46102</v>
      </c>
      <c r="D13" s="34">
        <f>VLOOKUP(B13,[4]EMR!$B$7:$D$131,3,FALSE)</f>
        <v>46371</v>
      </c>
      <c r="E13" s="35">
        <v>0.45</v>
      </c>
      <c r="F13" s="35"/>
      <c r="W13"/>
    </row>
    <row r="14" spans="2:29" ht="18.5" x14ac:dyDescent="0.35">
      <c r="B14" s="25" t="s">
        <v>75</v>
      </c>
      <c r="C14" s="34"/>
      <c r="D14" s="34">
        <f>VLOOKUP(B14,[4]EMR!$B$7:$D$131,3,FALSE)</f>
        <v>46356</v>
      </c>
      <c r="E14" s="35">
        <v>0.75</v>
      </c>
      <c r="F14" s="35"/>
      <c r="W14"/>
    </row>
    <row r="15" spans="2:29" ht="18.5" x14ac:dyDescent="0.35">
      <c r="B15" s="25" t="s">
        <v>11</v>
      </c>
      <c r="C15" s="34">
        <f>MIN(C16:C19)</f>
        <v>46211</v>
      </c>
      <c r="D15" s="34">
        <f>VLOOKUP(B15,[4]EMR!$B$7:$D$131,3,FALSE)</f>
        <v>46370</v>
      </c>
      <c r="E15" s="35">
        <f>AVERAGE(E16:E19)</f>
        <v>0.05</v>
      </c>
      <c r="F15" s="35"/>
      <c r="X15" s="1"/>
      <c r="Y15" s="1"/>
      <c r="Z15" s="1"/>
      <c r="AA15" s="1"/>
    </row>
    <row r="16" spans="2:29" ht="30" hidden="1" customHeight="1" x14ac:dyDescent="0.35">
      <c r="B16" s="25" t="s">
        <v>76</v>
      </c>
      <c r="C16" s="34">
        <v>46211</v>
      </c>
      <c r="D16" s="34" t="e">
        <f>VLOOKUP(B16,[4]EMR!$B$7:$D$131,3,FALSE)</f>
        <v>#N/A</v>
      </c>
      <c r="E16" s="35">
        <v>0.2</v>
      </c>
      <c r="F16" s="35"/>
      <c r="X16" s="1"/>
      <c r="Y16" s="1"/>
      <c r="Z16" s="1"/>
      <c r="AA16" s="1"/>
    </row>
    <row r="17" spans="2:6" ht="30" hidden="1" customHeight="1" x14ac:dyDescent="0.35">
      <c r="B17" s="25" t="s">
        <v>77</v>
      </c>
      <c r="C17" s="34">
        <f>C16+25</f>
        <v>46236</v>
      </c>
      <c r="D17" s="34" t="e">
        <f>VLOOKUP(B17,[4]EMR!$B$7:$D$131,3,FALSE)</f>
        <v>#N/A</v>
      </c>
      <c r="E17" s="35">
        <v>0</v>
      </c>
      <c r="F17" s="35"/>
    </row>
    <row r="18" spans="2:6" ht="30" hidden="1" customHeight="1" x14ac:dyDescent="0.35">
      <c r="B18" s="25" t="s">
        <v>78</v>
      </c>
      <c r="C18" s="34">
        <f t="shared" ref="C18:C19" si="1">C17+25</f>
        <v>46261</v>
      </c>
      <c r="D18" s="34" t="e">
        <f>VLOOKUP(B18,[4]EMR!$B$7:$D$131,3,FALSE)</f>
        <v>#N/A</v>
      </c>
      <c r="E18" s="35">
        <v>0</v>
      </c>
      <c r="F18" s="35"/>
    </row>
    <row r="19" spans="2:6" ht="30" hidden="1" customHeight="1" x14ac:dyDescent="0.35">
      <c r="B19" s="25" t="s">
        <v>79</v>
      </c>
      <c r="C19" s="34">
        <f t="shared" si="1"/>
        <v>46286</v>
      </c>
      <c r="D19" s="34" t="e">
        <f>VLOOKUP(B19,[4]EMR!$B$7:$D$131,3,FALSE)</f>
        <v>#N/A</v>
      </c>
      <c r="E19" s="35">
        <v>0</v>
      </c>
      <c r="F19" s="35"/>
    </row>
    <row r="20" spans="2:6" ht="30" customHeight="1" x14ac:dyDescent="0.35">
      <c r="B20" s="25" t="s">
        <v>13</v>
      </c>
      <c r="C20" s="34">
        <v>46336</v>
      </c>
      <c r="D20" s="34">
        <v>46376</v>
      </c>
      <c r="E20" s="35">
        <v>0</v>
      </c>
      <c r="F20" s="35"/>
    </row>
    <row r="21" spans="2:6" ht="35.15" customHeight="1" x14ac:dyDescent="0.35">
      <c r="B21" s="16" t="s">
        <v>299</v>
      </c>
      <c r="C21" s="17"/>
      <c r="D21" s="17"/>
      <c r="E21" s="18"/>
      <c r="F21" s="18"/>
    </row>
    <row r="22" spans="2:6" ht="30" customHeight="1" x14ac:dyDescent="0.35">
      <c r="B22" s="25"/>
      <c r="C22" s="34"/>
      <c r="D22" s="34"/>
      <c r="E22" s="35"/>
      <c r="F22" s="35"/>
    </row>
    <row r="23" spans="2:6" ht="30" customHeight="1" x14ac:dyDescent="0.35">
      <c r="B23" s="25"/>
      <c r="C23" s="34"/>
      <c r="D23" s="34"/>
      <c r="E23" s="35"/>
      <c r="F23" s="35"/>
    </row>
    <row r="24" spans="2:6" ht="30" customHeight="1" x14ac:dyDescent="0.35">
      <c r="B24" s="25"/>
      <c r="C24" s="34"/>
      <c r="D24" s="34"/>
      <c r="E24" s="35"/>
      <c r="F24" s="35"/>
    </row>
    <row r="25" spans="2:6" ht="30" customHeight="1" x14ac:dyDescent="0.35">
      <c r="B25" s="16" t="s">
        <v>14</v>
      </c>
      <c r="C25" s="17"/>
      <c r="D25" s="17"/>
      <c r="E25" s="18"/>
      <c r="F25" s="18"/>
    </row>
    <row r="26" spans="2:6" ht="30" customHeight="1" x14ac:dyDescent="0.35">
      <c r="B26" s="25" t="s">
        <v>213</v>
      </c>
      <c r="C26" s="34">
        <v>46290</v>
      </c>
      <c r="D26" s="34">
        <f>VLOOKUP(B26,[4]EMR!$B$7:$D$131,3,FALSE)</f>
        <v>46310</v>
      </c>
      <c r="E26" s="35">
        <v>0.35</v>
      </c>
      <c r="F26" s="35"/>
    </row>
    <row r="27" spans="2:6" ht="42.75" customHeight="1" x14ac:dyDescent="0.35">
      <c r="B27" s="25" t="s">
        <v>15</v>
      </c>
      <c r="C27" s="34">
        <v>46315</v>
      </c>
      <c r="D27" s="34">
        <f>VLOOKUP(B27,[4]EMR!$B$7:$D$131,3,FALSE)</f>
        <v>46327</v>
      </c>
      <c r="E27" s="35">
        <f>6/7</f>
        <v>0.8571428571428571</v>
      </c>
      <c r="F27" s="35"/>
    </row>
    <row r="28" spans="2:6" ht="30" customHeight="1" x14ac:dyDescent="0.35">
      <c r="B28" s="25" t="s">
        <v>16</v>
      </c>
      <c r="C28" s="34">
        <v>46078</v>
      </c>
      <c r="D28" s="34">
        <f>VLOOKUP(B28,[4]EMR!$B$7:$D$131,3,FALSE)</f>
        <v>46311</v>
      </c>
      <c r="E28" s="35">
        <v>0.75</v>
      </c>
      <c r="F28" s="35"/>
    </row>
    <row r="29" spans="2:6" ht="30" customHeight="1" x14ac:dyDescent="0.35">
      <c r="B29" s="25" t="s">
        <v>17</v>
      </c>
      <c r="C29" s="34">
        <v>46272</v>
      </c>
      <c r="D29" s="34">
        <f>VLOOKUP(B29,[4]EMR!$B$7:$D$131,3,FALSE)</f>
        <v>46320</v>
      </c>
      <c r="E29" s="35">
        <v>0.65</v>
      </c>
      <c r="F29" s="35"/>
    </row>
    <row r="30" spans="2:6" ht="30" customHeight="1" x14ac:dyDescent="0.35">
      <c r="B30" s="25" t="s">
        <v>18</v>
      </c>
      <c r="C30" s="34">
        <v>46295</v>
      </c>
      <c r="D30" s="34">
        <f>VLOOKUP(B30,[4]EMR!$B$7:$D$131,3,FALSE)</f>
        <v>46325</v>
      </c>
      <c r="E30" s="35">
        <v>0</v>
      </c>
      <c r="F30" s="35"/>
    </row>
    <row r="31" spans="2:6" ht="30" customHeight="1" x14ac:dyDescent="0.35">
      <c r="B31" s="25" t="s">
        <v>19</v>
      </c>
      <c r="C31" s="34">
        <v>46300</v>
      </c>
      <c r="D31" s="34">
        <f>VLOOKUP(B31,[4]EMR!$B$7:$D$131,3,FALSE)</f>
        <v>46320</v>
      </c>
      <c r="E31" s="35">
        <v>0</v>
      </c>
      <c r="F31" s="35"/>
    </row>
    <row r="32" spans="2:6" ht="30" customHeight="1" x14ac:dyDescent="0.35">
      <c r="B32" s="4" t="s">
        <v>214</v>
      </c>
      <c r="C32" s="5"/>
      <c r="D32" s="5"/>
      <c r="E32" s="6"/>
      <c r="F32" s="6"/>
    </row>
    <row r="33" spans="2:5" ht="30" customHeight="1" x14ac:dyDescent="0.35">
      <c r="B33" s="25" t="s">
        <v>215</v>
      </c>
      <c r="C33" s="34">
        <v>46239</v>
      </c>
      <c r="D33" s="34">
        <v>46315</v>
      </c>
      <c r="E33" s="35">
        <v>0.35</v>
      </c>
    </row>
    <row r="34" spans="2:5" ht="30" customHeight="1" x14ac:dyDescent="0.35">
      <c r="B34" s="25" t="s">
        <v>9</v>
      </c>
      <c r="C34" s="34">
        <v>46183</v>
      </c>
      <c r="D34" s="34">
        <v>46331</v>
      </c>
      <c r="E34" s="35">
        <v>0.92</v>
      </c>
    </row>
    <row r="35" spans="2:5" ht="30" customHeight="1" x14ac:dyDescent="0.35">
      <c r="B35" s="25" t="s">
        <v>29</v>
      </c>
      <c r="C35" s="34">
        <v>46310</v>
      </c>
      <c r="D35" s="34">
        <f>C35+35</f>
        <v>46345</v>
      </c>
      <c r="E35" s="35">
        <v>0</v>
      </c>
    </row>
    <row r="36" spans="2:5" ht="30" customHeight="1" x14ac:dyDescent="0.35">
      <c r="B36" s="25" t="s">
        <v>30</v>
      </c>
      <c r="C36" s="34">
        <v>46323</v>
      </c>
      <c r="D36" s="34">
        <v>46366</v>
      </c>
      <c r="E36" s="35">
        <v>0</v>
      </c>
    </row>
    <row r="37" spans="2:5" ht="30" hidden="1" customHeight="1" x14ac:dyDescent="0.35">
      <c r="B37" s="25" t="s">
        <v>20</v>
      </c>
      <c r="C37" s="36" t="e">
        <f>#REF!+5</f>
        <v>#REF!</v>
      </c>
      <c r="D37" s="36">
        <v>46315</v>
      </c>
      <c r="E37" s="35">
        <v>0</v>
      </c>
    </row>
    <row r="38" spans="2:5" ht="30" hidden="1" customHeight="1" x14ac:dyDescent="0.35">
      <c r="B38" s="25" t="s">
        <v>21</v>
      </c>
      <c r="C38" s="36" t="e">
        <f>#REF!+5</f>
        <v>#REF!</v>
      </c>
      <c r="D38" s="36">
        <v>46331</v>
      </c>
      <c r="E38" s="35">
        <v>0</v>
      </c>
    </row>
    <row r="39" spans="2:5" ht="30" hidden="1" customHeight="1" x14ac:dyDescent="0.35">
      <c r="B39" s="25" t="s">
        <v>22</v>
      </c>
      <c r="C39" s="36" t="e">
        <f>#REF!+5</f>
        <v>#REF!</v>
      </c>
      <c r="D39" s="36">
        <v>46348</v>
      </c>
      <c r="E39" s="35">
        <v>0</v>
      </c>
    </row>
    <row r="40" spans="2:5" ht="30" hidden="1" customHeight="1" x14ac:dyDescent="0.35">
      <c r="B40" s="25" t="s">
        <v>23</v>
      </c>
      <c r="C40" s="36" t="e">
        <f>#REF!+5</f>
        <v>#REF!</v>
      </c>
      <c r="D40" s="36">
        <v>46361</v>
      </c>
      <c r="E40" s="35">
        <v>0</v>
      </c>
    </row>
    <row r="41" spans="2:5" ht="30" customHeight="1" x14ac:dyDescent="0.35">
      <c r="B41" s="26" t="s">
        <v>82</v>
      </c>
      <c r="C41" s="27"/>
      <c r="D41" s="27"/>
      <c r="E41" s="28"/>
    </row>
    <row r="42" spans="2:5" ht="30" customHeight="1" x14ac:dyDescent="0.35">
      <c r="B42" s="16" t="s">
        <v>83</v>
      </c>
      <c r="C42" s="17"/>
      <c r="D42" s="17"/>
      <c r="E42" s="18"/>
    </row>
    <row r="43" spans="2:5" ht="30" customHeight="1" x14ac:dyDescent="0.35">
      <c r="B43" s="25" t="s">
        <v>33</v>
      </c>
      <c r="C43" s="34">
        <v>45940</v>
      </c>
      <c r="D43" s="34">
        <v>46305</v>
      </c>
      <c r="E43" s="35">
        <v>0.86</v>
      </c>
    </row>
    <row r="44" spans="2:5" ht="30" customHeight="1" x14ac:dyDescent="0.35">
      <c r="B44" s="25" t="s">
        <v>35</v>
      </c>
      <c r="C44" s="34">
        <v>45930</v>
      </c>
      <c r="D44" s="34">
        <v>46315</v>
      </c>
      <c r="E44" s="35">
        <v>0.91</v>
      </c>
    </row>
    <row r="45" spans="2:5" ht="30" customHeight="1" x14ac:dyDescent="0.35">
      <c r="B45" s="25" t="s">
        <v>38</v>
      </c>
      <c r="C45" s="34">
        <v>45979</v>
      </c>
      <c r="D45" s="34">
        <v>46285</v>
      </c>
      <c r="E45" s="35">
        <v>1</v>
      </c>
    </row>
    <row r="46" spans="2:5" ht="30" customHeight="1" x14ac:dyDescent="0.35">
      <c r="B46" s="25" t="s">
        <v>41</v>
      </c>
      <c r="C46" s="34">
        <v>45955</v>
      </c>
      <c r="D46" s="34">
        <v>46358</v>
      </c>
      <c r="E46" s="35">
        <v>0.75</v>
      </c>
    </row>
    <row r="47" spans="2:5" ht="30" customHeight="1" x14ac:dyDescent="0.35">
      <c r="B47" s="25" t="s">
        <v>43</v>
      </c>
      <c r="C47" s="34">
        <v>46285</v>
      </c>
      <c r="D47" s="34">
        <v>46325</v>
      </c>
      <c r="E47" s="35">
        <v>0.05</v>
      </c>
    </row>
    <row r="48" spans="2:5" ht="30" customHeight="1" x14ac:dyDescent="0.35">
      <c r="B48" s="25" t="s">
        <v>45</v>
      </c>
      <c r="C48" s="34">
        <v>46300</v>
      </c>
      <c r="D48" s="34">
        <v>46366</v>
      </c>
      <c r="E48" s="35">
        <v>0</v>
      </c>
    </row>
    <row r="49" spans="2:5" ht="30" customHeight="1" x14ac:dyDescent="0.35">
      <c r="B49" s="29" t="s">
        <v>85</v>
      </c>
      <c r="C49" s="30"/>
      <c r="D49" s="30"/>
      <c r="E49" s="31"/>
    </row>
    <row r="50" spans="2:5" ht="30" customHeight="1" x14ac:dyDescent="0.35">
      <c r="B50" s="25" t="s">
        <v>33</v>
      </c>
      <c r="C50" s="34">
        <v>46191</v>
      </c>
      <c r="D50" s="34">
        <v>46386</v>
      </c>
      <c r="E50" s="35">
        <v>0.33</v>
      </c>
    </row>
    <row r="51" spans="2:5" ht="30" customHeight="1" x14ac:dyDescent="0.35">
      <c r="B51" s="25" t="s">
        <v>35</v>
      </c>
      <c r="C51" s="34">
        <v>46105</v>
      </c>
      <c r="D51" s="34">
        <v>46305</v>
      </c>
      <c r="E51" s="35">
        <v>0.45</v>
      </c>
    </row>
    <row r="52" spans="2:5" ht="30" customHeight="1" x14ac:dyDescent="0.35">
      <c r="B52" s="25" t="s">
        <v>38</v>
      </c>
      <c r="C52" s="34">
        <v>46122</v>
      </c>
      <c r="D52" s="34">
        <v>46386</v>
      </c>
      <c r="E52" s="35">
        <v>0.28999999999999998</v>
      </c>
    </row>
    <row r="53" spans="2:5" ht="30" customHeight="1" x14ac:dyDescent="0.35">
      <c r="B53" s="25" t="s">
        <v>41</v>
      </c>
      <c r="C53" s="34">
        <v>46185</v>
      </c>
      <c r="D53" s="34">
        <v>46305</v>
      </c>
      <c r="E53" s="35">
        <v>0.25</v>
      </c>
    </row>
    <row r="54" spans="2:5" ht="30" customHeight="1" x14ac:dyDescent="0.35">
      <c r="B54" s="25" t="s">
        <v>42</v>
      </c>
      <c r="C54" s="34">
        <v>46188</v>
      </c>
      <c r="D54" s="34">
        <v>46386</v>
      </c>
      <c r="E54" s="35">
        <v>0.15</v>
      </c>
    </row>
    <row r="55" spans="2:5" ht="30" customHeight="1" x14ac:dyDescent="0.35">
      <c r="B55" s="25" t="s">
        <v>43</v>
      </c>
      <c r="C55" s="34">
        <v>46231</v>
      </c>
      <c r="D55" s="34">
        <v>46386</v>
      </c>
      <c r="E55" s="35">
        <v>0</v>
      </c>
    </row>
    <row r="56" spans="2:5" ht="30" customHeight="1" x14ac:dyDescent="0.35">
      <c r="B56" s="25" t="s">
        <v>45</v>
      </c>
      <c r="C56" s="34">
        <v>46315</v>
      </c>
      <c r="D56" s="34">
        <v>46386</v>
      </c>
      <c r="E56" s="35">
        <v>0</v>
      </c>
    </row>
    <row r="57" spans="2:5" ht="30" customHeight="1" x14ac:dyDescent="0.35">
      <c r="B57" s="16" t="s">
        <v>86</v>
      </c>
      <c r="C57" s="52"/>
      <c r="D57" s="52"/>
      <c r="E57" s="18"/>
    </row>
    <row r="58" spans="2:5" ht="30" customHeight="1" x14ac:dyDescent="0.35">
      <c r="B58" s="25" t="s">
        <v>33</v>
      </c>
      <c r="C58" s="34">
        <v>46356</v>
      </c>
      <c r="D58" s="34">
        <v>46386</v>
      </c>
      <c r="E58" s="35">
        <v>0</v>
      </c>
    </row>
    <row r="59" spans="2:5" ht="30" customHeight="1" x14ac:dyDescent="0.35">
      <c r="B59" s="25" t="s">
        <v>35</v>
      </c>
      <c r="C59" s="34">
        <v>46354</v>
      </c>
      <c r="D59" s="34">
        <v>46386</v>
      </c>
      <c r="E59" s="35">
        <v>0</v>
      </c>
    </row>
    <row r="60" spans="2:5" ht="30" customHeight="1" x14ac:dyDescent="0.35">
      <c r="B60" s="25" t="s">
        <v>38</v>
      </c>
      <c r="C60" s="34">
        <v>46320</v>
      </c>
      <c r="D60" s="34">
        <v>46386</v>
      </c>
      <c r="E60" s="35">
        <v>0</v>
      </c>
    </row>
    <row r="61" spans="2:5" ht="30" customHeight="1" x14ac:dyDescent="0.35">
      <c r="B61" s="25" t="s">
        <v>41</v>
      </c>
      <c r="C61" s="34">
        <v>46366</v>
      </c>
      <c r="D61" s="34">
        <v>46386</v>
      </c>
      <c r="E61" s="35">
        <v>0</v>
      </c>
    </row>
    <row r="62" spans="2:5" ht="30" customHeight="1" x14ac:dyDescent="0.35">
      <c r="B62" s="25" t="s">
        <v>42</v>
      </c>
      <c r="C62" s="34">
        <v>46356</v>
      </c>
      <c r="D62" s="34">
        <v>46386</v>
      </c>
      <c r="E62" s="35">
        <v>0</v>
      </c>
    </row>
    <row r="63" spans="2:5" ht="30" customHeight="1" x14ac:dyDescent="0.35">
      <c r="B63" s="25" t="s">
        <v>43</v>
      </c>
      <c r="C63" s="34">
        <v>46351</v>
      </c>
      <c r="D63" s="34">
        <v>46386</v>
      </c>
      <c r="E63" s="35">
        <v>0</v>
      </c>
    </row>
    <row r="64" spans="2:5" ht="30" customHeight="1" x14ac:dyDescent="0.35">
      <c r="B64" s="25" t="s">
        <v>45</v>
      </c>
      <c r="C64" s="34">
        <v>46366</v>
      </c>
      <c r="D64" s="34">
        <v>46386</v>
      </c>
      <c r="E64" s="35">
        <v>0</v>
      </c>
    </row>
    <row r="65" spans="2:5" ht="30" customHeight="1" x14ac:dyDescent="0.35">
      <c r="B65" s="16" t="s">
        <v>90</v>
      </c>
      <c r="C65" s="52"/>
      <c r="D65" s="52"/>
      <c r="E65" s="18"/>
    </row>
    <row r="66" spans="2:5" ht="30" customHeight="1" x14ac:dyDescent="0.35">
      <c r="B66" s="25" t="s">
        <v>93</v>
      </c>
      <c r="C66" s="34">
        <v>46336</v>
      </c>
      <c r="D66" s="34">
        <v>46386</v>
      </c>
      <c r="E66" s="35">
        <v>0</v>
      </c>
    </row>
    <row r="67" spans="2:5" ht="30" customHeight="1" x14ac:dyDescent="0.35">
      <c r="B67" s="25" t="s">
        <v>94</v>
      </c>
      <c r="C67" s="34">
        <v>46338</v>
      </c>
      <c r="D67" s="34">
        <v>46386</v>
      </c>
      <c r="E67" s="35">
        <v>0</v>
      </c>
    </row>
    <row r="68" spans="2:5" ht="30" customHeight="1" x14ac:dyDescent="0.35">
      <c r="B68" s="25" t="s">
        <v>95</v>
      </c>
      <c r="C68" s="34">
        <v>46323</v>
      </c>
      <c r="D68" s="34">
        <v>46386</v>
      </c>
      <c r="E68" s="35">
        <v>0</v>
      </c>
    </row>
    <row r="69" spans="2:5" ht="30" hidden="1" customHeight="1" x14ac:dyDescent="0.35">
      <c r="B69" s="25" t="s">
        <v>96</v>
      </c>
      <c r="C69" s="34"/>
      <c r="D69" s="34">
        <v>46386</v>
      </c>
      <c r="E69" s="35"/>
    </row>
    <row r="70" spans="2:5" ht="30" hidden="1" customHeight="1" x14ac:dyDescent="0.35">
      <c r="B70" s="25" t="s">
        <v>24</v>
      </c>
      <c r="C70" s="34"/>
      <c r="D70" s="34">
        <v>46386</v>
      </c>
      <c r="E70" s="35"/>
    </row>
    <row r="71" spans="2:5" ht="30" hidden="1" customHeight="1" x14ac:dyDescent="0.35">
      <c r="B71" s="25" t="s">
        <v>25</v>
      </c>
      <c r="C71" s="34"/>
      <c r="D71" s="34">
        <v>46386</v>
      </c>
      <c r="E71" s="35"/>
    </row>
    <row r="72" spans="2:5" ht="30" hidden="1" customHeight="1" x14ac:dyDescent="0.35">
      <c r="B72" s="25" t="s">
        <v>26</v>
      </c>
      <c r="C72" s="34"/>
      <c r="D72" s="34">
        <v>46386</v>
      </c>
      <c r="E72" s="35"/>
    </row>
    <row r="73" spans="2:5" ht="30" hidden="1" customHeight="1" x14ac:dyDescent="0.35">
      <c r="B73" s="25" t="s">
        <v>27</v>
      </c>
      <c r="C73" s="34"/>
      <c r="D73" s="34">
        <v>46386</v>
      </c>
      <c r="E73" s="35"/>
    </row>
    <row r="74" spans="2:5" ht="30" customHeight="1" x14ac:dyDescent="0.35">
      <c r="B74" s="25" t="s">
        <v>28</v>
      </c>
      <c r="C74" s="34">
        <v>46183</v>
      </c>
      <c r="D74" s="34">
        <v>46386</v>
      </c>
      <c r="E74" s="35">
        <f>4/7</f>
        <v>0.5714285714285714</v>
      </c>
    </row>
  </sheetData>
  <mergeCells count="6">
    <mergeCell ref="M2:O2"/>
    <mergeCell ref="B3:B4"/>
    <mergeCell ref="C3:C4"/>
    <mergeCell ref="D3:D4"/>
    <mergeCell ref="E3:E4"/>
    <mergeCell ref="F3:F4"/>
  </mergeCells>
  <conditionalFormatting sqref="G6:V8 G10:V14 G15:AA48 G49:V49 G50:AA56 G57:V57 G58:AA76 G77:V85">
    <cfRule type="expression" dxfId="952" priority="954">
      <formula>AND($C6&lt;&gt;"",$D6&lt;&gt;"",$C6&lt;=EOMONTH(G$4,0),$D6&gt;=G$4)</formula>
    </cfRule>
  </conditionalFormatting>
  <conditionalFormatting sqref="G6:V8 G10:V14 G15:AA48 G50:AA56 G58:AA76">
    <cfRule type="expression" dxfId="951" priority="89">
      <formula>AND($C6&lt;&gt;"",$D6&lt;&gt;"",$E6&gt;0,$C6&lt;=EOMONTH(G$4,0),($C6+(($D6-$C6)*$E6))&gt;=G$4)</formula>
    </cfRule>
    <cfRule type="expression" dxfId="950" priority="90">
      <formula>AND($C6&lt;&gt;"",$D6&lt;&gt;"",$C6&lt;=EOMONTH(G$4,0),$D6&gt;=G$4)</formula>
    </cfRule>
  </conditionalFormatting>
  <conditionalFormatting sqref="G4:W5">
    <cfRule type="expression" dxfId="949" priority="960">
      <formula>G$4=period_selected</formula>
    </cfRule>
  </conditionalFormatting>
  <conditionalFormatting sqref="G5:W5">
    <cfRule type="expression" dxfId="948" priority="963">
      <formula>AND(G$4&gt;=#REF!,G$4&lt;=$D5)</formula>
    </cfRule>
  </conditionalFormatting>
  <conditionalFormatting sqref="G6:W8">
    <cfRule type="expression" dxfId="947" priority="1">
      <formula>PercentCompleteBeyond</formula>
    </cfRule>
    <cfRule type="expression" dxfId="946" priority="2">
      <formula>Actual</formula>
    </cfRule>
    <cfRule type="expression" dxfId="945" priority="3">
      <formula>ActualBeyond</formula>
    </cfRule>
    <cfRule type="expression" dxfId="944" priority="4">
      <formula>Plan</formula>
    </cfRule>
    <cfRule type="expression" dxfId="943" priority="5">
      <formula>G$4=period_selected</formula>
    </cfRule>
    <cfRule type="expression" dxfId="942" priority="6">
      <formula>MOD(COLUMN(),2)</formula>
    </cfRule>
    <cfRule type="expression" dxfId="941" priority="7">
      <formula>MOD(COLUMN(),2)=0</formula>
    </cfRule>
  </conditionalFormatting>
  <conditionalFormatting sqref="G9:W14 G15:AA48 G50:AA56 G58:AA76">
    <cfRule type="expression" dxfId="940" priority="956">
      <formula>Actual</formula>
    </cfRule>
    <cfRule type="expression" dxfId="939" priority="958">
      <formula>Plan</formula>
    </cfRule>
    <cfRule type="expression" dxfId="938" priority="959">
      <formula>G$4=period_selected</formula>
    </cfRule>
    <cfRule type="expression" dxfId="937" priority="961">
      <formula>MOD(COLUMN(),2)</formula>
    </cfRule>
    <cfRule type="expression" dxfId="936" priority="962">
      <formula>MOD(COLUMN(),2)=0</formula>
    </cfRule>
    <cfRule type="expression" dxfId="935" priority="957">
      <formula>ActualBeyond</formula>
    </cfRule>
    <cfRule type="expression" dxfId="934" priority="955">
      <formula>PercentCompleteBeyond</formula>
    </cfRule>
  </conditionalFormatting>
  <conditionalFormatting sqref="G10:W76 G6:W8">
    <cfRule type="expression" dxfId="933" priority="943">
      <formula>AND($C6&lt;&gt;"",$D6&lt;&gt;"",$E6&gt;0,$C6&lt;=EOMONTH(G$4,0),($C6+(($D6-$C6)*$E6))&gt;=G$4)</formula>
    </cfRule>
  </conditionalFormatting>
  <conditionalFormatting sqref="G37:W42">
    <cfRule type="expression" dxfId="932" priority="846">
      <formula>PercentCompleteBeyond</formula>
    </cfRule>
    <cfRule type="expression" dxfId="931" priority="847">
      <formula>Actual</formula>
    </cfRule>
    <cfRule type="expression" dxfId="930" priority="848">
      <formula>ActualBeyond</formula>
    </cfRule>
    <cfRule type="expression" dxfId="929" priority="849">
      <formula>Plan</formula>
    </cfRule>
    <cfRule type="expression" dxfId="928" priority="850">
      <formula>G$4=period_selected</formula>
    </cfRule>
    <cfRule type="expression" dxfId="927" priority="851">
      <formula>MOD(COLUMN(),2)</formula>
    </cfRule>
    <cfRule type="expression" dxfId="926" priority="852">
      <formula>MOD(COLUMN(),2)=0</formula>
    </cfRule>
  </conditionalFormatting>
  <conditionalFormatting sqref="G49:W49">
    <cfRule type="expression" dxfId="925" priority="720">
      <formula>PercentCompleteBeyond</formula>
    </cfRule>
    <cfRule type="expression" dxfId="924" priority="722">
      <formula>ActualBeyond</formula>
    </cfRule>
    <cfRule type="expression" dxfId="923" priority="723">
      <formula>Plan</formula>
    </cfRule>
    <cfRule type="expression" dxfId="922" priority="721">
      <formula>Actual</formula>
    </cfRule>
    <cfRule type="expression" dxfId="921" priority="724">
      <formula>G$4=period_selected</formula>
    </cfRule>
    <cfRule type="expression" dxfId="920" priority="725">
      <formula>MOD(COLUMN(),2)</formula>
    </cfRule>
    <cfRule type="expression" dxfId="919" priority="726">
      <formula>MOD(COLUMN(),2)=0</formula>
    </cfRule>
  </conditionalFormatting>
  <conditionalFormatting sqref="G57:W57">
    <cfRule type="expression" dxfId="918" priority="504">
      <formula>PercentCompleteBeyond</formula>
    </cfRule>
    <cfRule type="expression" dxfId="917" priority="505">
      <formula>Actual</formula>
    </cfRule>
    <cfRule type="expression" dxfId="916" priority="507">
      <formula>Plan</formula>
    </cfRule>
    <cfRule type="expression" dxfId="915" priority="508">
      <formula>G$4=period_selected</formula>
    </cfRule>
    <cfRule type="expression" dxfId="914" priority="510">
      <formula>MOD(COLUMN(),2)=0</formula>
    </cfRule>
    <cfRule type="expression" dxfId="913" priority="509">
      <formula>MOD(COLUMN(),2)</formula>
    </cfRule>
    <cfRule type="expression" dxfId="912" priority="506">
      <formula>ActualBeyond</formula>
    </cfRule>
  </conditionalFormatting>
  <conditionalFormatting sqref="G77:W85">
    <cfRule type="expression" dxfId="911" priority="99">
      <formula>PercentCompleteBeyond</formula>
    </cfRule>
    <cfRule type="expression" dxfId="910" priority="100">
      <formula>Actual</formula>
    </cfRule>
    <cfRule type="expression" dxfId="909" priority="101">
      <formula>ActualBeyond</formula>
    </cfRule>
    <cfRule type="expression" dxfId="908" priority="102">
      <formula>Plan</formula>
    </cfRule>
    <cfRule type="expression" dxfId="907" priority="103">
      <formula>G$4=period_selected</formula>
    </cfRule>
    <cfRule type="expression" dxfId="906" priority="104">
      <formula>MOD(COLUMN(),2)</formula>
    </cfRule>
    <cfRule type="expression" dxfId="905" priority="105">
      <formula>MOD(COLUMN(),2)=0</formula>
    </cfRule>
  </conditionalFormatting>
  <conditionalFormatting sqref="G15:AA48 G49:V49 G57:V57 G77:V85 G6:V8 G10:V14 G50:AA56 G58:AA76">
    <cfRule type="expression" dxfId="904" priority="953">
      <formula>AND($C6&lt;&gt;"",$D6&lt;&gt;"",$E6&lt;&gt;"",$C6&lt;=EOMONTH(G$4,0),($C6+(($D6-$C6)*$E6))&gt;=G$4)</formula>
    </cfRule>
  </conditionalFormatting>
  <dataValidations count="11"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G2" xr:uid="{88181F2A-7518-4183-8F1D-549212FDCF0B}">
      <formula1>$G$4:$W$4</formula1>
    </dataValidation>
    <dataValidation allowBlank="1" showInputMessage="1" showErrorMessage="1" prompt="Select a period to highlight in H2. A Chart legend is in J2 to AI2" sqref="B2:E2" xr:uid="{163B23FA-38F4-4D0C-8896-385A68699BD3}"/>
    <dataValidation allowBlank="1" showInputMessage="1" showErrorMessage="1" prompt="Enter actual duration period in column F, starting with cell F5" sqref="D3:E8" xr:uid="{D25865B9-FB1C-44D0-9834-100A0984CD76}"/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" xr:uid="{E3556B5D-27D2-4EE3-91F2-FAC5FB3DD257}"/>
    <dataValidation allowBlank="1" showInputMessage="1" showErrorMessage="1" prompt="This legend cell indicates plan duration" sqref="I2" xr:uid="{F23A13D9-FBC6-4E73-8775-E256B66F26A3}"/>
    <dataValidation allowBlank="1" showInputMessage="1" showErrorMessage="1" prompt="This legend cell indicates the percentage of project completed" sqref="T2" xr:uid="{15ABC5EB-BE5E-4089-BC0F-02CD0C050FC7}"/>
    <dataValidation allowBlank="1" showInputMessage="1" showErrorMessage="1" prompt="Periods are charted from 1 to 60 starting from cell H4 to cell BO4 " sqref="G3" xr:uid="{B0DCB472-BFDE-4E3D-B5BF-5F5B0D022D86}"/>
    <dataValidation allowBlank="1" showInputMessage="1" showErrorMessage="1" prompt="Enter activity in column B, starting with cell B5_x000a_" sqref="B3:B8" xr:uid="{B6D34CCE-68C8-4A52-9940-D70F3AFA06BE}"/>
    <dataValidation allowBlank="1" showInputMessage="1" showErrorMessage="1" prompt="Enter plan start period in column C, starting with cell C5" sqref="C3:C7" xr:uid="{C3D34B9C-7B82-442F-82FB-741FD6B2D05F}"/>
    <dataValidation allowBlank="1" showInputMessage="1" showErrorMessage="1" prompt="Enter the percentage of project completed in column G, starting with cell G5" sqref="E3:E8" xr:uid="{2BFDD3CB-3C89-46C7-9BFE-9F96F8216E25}"/>
    <dataValidation allowBlank="1" showInputMessage="1" showErrorMessage="1" prompt="Title of the project. Enter a new title in this cell. Highlight a period in H2. Chart legend is in J2 to AI2" sqref="B1" xr:uid="{EDC0386C-4070-48A9-8CC7-3C6E98636C4A}"/>
  </dataValidations>
  <printOptions horizontalCentered="1"/>
  <pageMargins left="0.45" right="0.45" top="0.5" bottom="0.5" header="0.3" footer="0.3"/>
  <pageSetup paperSize="8" scale="75" fitToHeight="0" orientation="landscape" r:id="rId1"/>
  <headerFooter differentFirst="1">
    <oddFooter>&amp;L_x000D_&amp;1#&amp;"Aptos"&amp;8&amp;K000000 Sensitivity: LNT Construction Internal Use</oddFooter>
    <firstFooter>&amp;L_x000D_&amp;1#&amp;"Aptos"&amp;8&amp;K000000 Sensitivity: LNT Construction Internal Use</first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DC234-EA75-4AD0-9443-78E7F5433F8B}">
  <sheetPr>
    <tabColor rgb="FFD0D55E"/>
    <pageSetUpPr fitToPage="1"/>
  </sheetPr>
  <dimension ref="B1:AC106"/>
  <sheetViews>
    <sheetView showGridLines="0" zoomScale="62" zoomScaleNormal="70" zoomScaleSheetLayoutView="80" workbookViewId="0">
      <pane xSplit="6" ySplit="4" topLeftCell="G9" activePane="bottomRight" state="frozen"/>
      <selection pane="topRight" activeCell="I1" sqref="I1"/>
      <selection pane="bottomLeft" activeCell="A5" sqref="A5"/>
      <selection pane="bottomRight" activeCell="F76" sqref="F76"/>
    </sheetView>
  </sheetViews>
  <sheetFormatPr defaultColWidth="2.75" defaultRowHeight="30" customHeight="1" x14ac:dyDescent="0.4"/>
  <cols>
    <col min="1" max="1" width="2.58203125" customWidth="1"/>
    <col min="2" max="2" width="27.33203125" style="2" customWidth="1"/>
    <col min="3" max="3" width="15.33203125" style="1" customWidth="1"/>
    <col min="4" max="4" width="13.33203125" customWidth="1"/>
    <col min="5" max="5" width="15.58203125" style="3" customWidth="1"/>
    <col min="6" max="6" width="33.08203125" style="3" customWidth="1"/>
    <col min="7" max="7" width="8.58203125" style="1" bestFit="1" customWidth="1"/>
    <col min="8" max="10" width="8.25" style="1" bestFit="1" customWidth="1"/>
    <col min="11" max="11" width="8.58203125" style="1" bestFit="1" customWidth="1"/>
    <col min="12" max="12" width="8.25" style="1" bestFit="1" customWidth="1"/>
    <col min="13" max="13" width="8.58203125" style="1" bestFit="1" customWidth="1"/>
    <col min="14" max="14" width="8.25" style="1" bestFit="1" customWidth="1"/>
    <col min="15" max="15" width="8.58203125" style="1" bestFit="1" customWidth="1"/>
    <col min="16" max="23" width="9.5" style="1" bestFit="1" customWidth="1"/>
  </cols>
  <sheetData>
    <row r="1" spans="2:29" ht="30.75" customHeight="1" x14ac:dyDescent="1.2">
      <c r="B1" s="47" t="s">
        <v>287</v>
      </c>
      <c r="C1" s="48"/>
      <c r="D1" s="49"/>
      <c r="E1" s="48"/>
      <c r="F1" s="48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5"/>
      <c r="U1" s="45"/>
      <c r="V1" s="45"/>
      <c r="W1" s="46"/>
      <c r="X1" s="21"/>
      <c r="Y1" s="14"/>
      <c r="Z1" s="14"/>
      <c r="AA1" s="14"/>
      <c r="AB1" s="14"/>
      <c r="AC1" s="14"/>
    </row>
    <row r="2" spans="2:29" ht="32" x14ac:dyDescent="0.4">
      <c r="B2" s="37"/>
      <c r="C2" s="37"/>
      <c r="D2" s="37"/>
      <c r="E2" s="38" t="s">
        <v>2</v>
      </c>
      <c r="F2" s="38"/>
      <c r="G2" s="39">
        <v>46266</v>
      </c>
      <c r="H2" s="40"/>
      <c r="I2" s="41"/>
      <c r="J2" s="42" t="s">
        <v>5</v>
      </c>
      <c r="K2" s="42"/>
      <c r="L2" s="43"/>
      <c r="M2" s="261" t="s">
        <v>32</v>
      </c>
      <c r="N2" s="261"/>
      <c r="O2" s="261"/>
      <c r="P2" s="21"/>
      <c r="Q2" s="21"/>
      <c r="R2" s="21"/>
      <c r="S2" s="21"/>
      <c r="T2" s="21"/>
      <c r="U2" s="21"/>
      <c r="V2" s="21"/>
      <c r="W2" s="21"/>
      <c r="X2" s="21"/>
      <c r="Y2" s="14"/>
      <c r="Z2" s="14"/>
      <c r="AA2" s="14"/>
      <c r="AB2" s="14"/>
      <c r="AC2" s="14"/>
    </row>
    <row r="3" spans="2:29" s="11" customFormat="1" ht="16" x14ac:dyDescent="0.4">
      <c r="B3" s="247" t="s">
        <v>1</v>
      </c>
      <c r="C3" s="248" t="s">
        <v>3</v>
      </c>
      <c r="D3" s="248" t="s">
        <v>31</v>
      </c>
      <c r="E3" s="248" t="s">
        <v>4</v>
      </c>
      <c r="F3" s="248" t="s">
        <v>97</v>
      </c>
      <c r="G3" s="12" t="s">
        <v>0</v>
      </c>
      <c r="H3" s="13"/>
      <c r="I3" s="24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</row>
    <row r="4" spans="2:29" ht="38.15" customHeight="1" x14ac:dyDescent="0.35">
      <c r="B4" s="247"/>
      <c r="C4" s="248"/>
      <c r="D4" s="248"/>
      <c r="E4" s="248"/>
      <c r="F4" s="248"/>
      <c r="G4" s="22">
        <v>45901</v>
      </c>
      <c r="H4" s="22">
        <f>EDATE(G4,1)</f>
        <v>45931</v>
      </c>
      <c r="I4" s="22">
        <f t="shared" ref="I4:V4" si="0">EDATE(H4,1)</f>
        <v>45962</v>
      </c>
      <c r="J4" s="22">
        <f t="shared" si="0"/>
        <v>45992</v>
      </c>
      <c r="K4" s="22">
        <f t="shared" si="0"/>
        <v>46023</v>
      </c>
      <c r="L4" s="22">
        <f t="shared" si="0"/>
        <v>46054</v>
      </c>
      <c r="M4" s="22">
        <f t="shared" si="0"/>
        <v>46082</v>
      </c>
      <c r="N4" s="22">
        <f t="shared" si="0"/>
        <v>46113</v>
      </c>
      <c r="O4" s="22">
        <f t="shared" si="0"/>
        <v>46143</v>
      </c>
      <c r="P4" s="22">
        <f t="shared" si="0"/>
        <v>46174</v>
      </c>
      <c r="Q4" s="22">
        <f t="shared" si="0"/>
        <v>46204</v>
      </c>
      <c r="R4" s="22">
        <f t="shared" si="0"/>
        <v>46235</v>
      </c>
      <c r="S4" s="22">
        <f t="shared" si="0"/>
        <v>46266</v>
      </c>
      <c r="T4" s="22">
        <f t="shared" si="0"/>
        <v>46296</v>
      </c>
      <c r="U4" s="22">
        <f t="shared" si="0"/>
        <v>46327</v>
      </c>
      <c r="V4" s="22">
        <f t="shared" si="0"/>
        <v>46357</v>
      </c>
      <c r="W4" s="23"/>
    </row>
    <row r="5" spans="2:29" ht="23" x14ac:dyDescent="0.35">
      <c r="B5" s="8" t="s">
        <v>6</v>
      </c>
      <c r="C5" s="7"/>
      <c r="D5" s="19"/>
      <c r="E5" s="15">
        <v>1</v>
      </c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2:29" ht="30" customHeight="1" x14ac:dyDescent="0.35">
      <c r="B6" s="4" t="s">
        <v>7</v>
      </c>
      <c r="C6" s="5"/>
      <c r="D6" s="5"/>
      <c r="E6" s="6"/>
      <c r="F6" s="6"/>
    </row>
    <row r="7" spans="2:29" ht="42" customHeight="1" x14ac:dyDescent="0.35">
      <c r="B7" s="25" t="s">
        <v>8</v>
      </c>
      <c r="C7" s="34">
        <v>46193</v>
      </c>
      <c r="D7" s="34">
        <v>46285</v>
      </c>
      <c r="E7" s="35">
        <f>'UG MALE backup'!E4/'UG MALE backup'!D4</f>
        <v>0.98745819397993306</v>
      </c>
      <c r="F7" s="35"/>
    </row>
    <row r="8" spans="2:29" ht="30" customHeight="1" x14ac:dyDescent="0.35">
      <c r="B8" s="25" t="s">
        <v>9</v>
      </c>
      <c r="C8" s="34">
        <v>46222</v>
      </c>
      <c r="D8" s="34">
        <v>46315</v>
      </c>
      <c r="E8" s="35">
        <f>('UG MALE backup'!E5+'UG MALE backup'!E7)/('UG MALE backup'!D5+'UG MALE backup'!D7)</f>
        <v>0.35488003726997436</v>
      </c>
      <c r="F8" s="35"/>
    </row>
    <row r="9" spans="2:29" ht="30" customHeight="1" x14ac:dyDescent="0.35">
      <c r="B9" s="25" t="s">
        <v>74</v>
      </c>
      <c r="C9" s="34">
        <v>46277</v>
      </c>
      <c r="D9" s="34">
        <v>46305</v>
      </c>
      <c r="E9" s="35">
        <f>'UG MALE backup'!E24/'UG MALE backup'!D24</f>
        <v>0</v>
      </c>
      <c r="F9" s="35"/>
    </row>
    <row r="10" spans="2:29" ht="18.5" x14ac:dyDescent="0.35">
      <c r="B10" s="25" t="s">
        <v>10</v>
      </c>
      <c r="C10" s="34">
        <v>46296</v>
      </c>
      <c r="D10" s="34">
        <v>46305</v>
      </c>
      <c r="E10" s="35">
        <f>'UG MALE backup'!E27/'UG MALE backup'!D27</f>
        <v>0.46153846153846156</v>
      </c>
      <c r="F10" s="35"/>
      <c r="W10"/>
    </row>
    <row r="11" spans="2:29" ht="18.5" x14ac:dyDescent="0.35">
      <c r="B11" s="25" t="s">
        <v>75</v>
      </c>
      <c r="C11" s="34">
        <v>46242</v>
      </c>
      <c r="D11" s="34">
        <v>46310</v>
      </c>
      <c r="E11" s="35">
        <v>0.75</v>
      </c>
      <c r="F11" s="35"/>
      <c r="W11"/>
    </row>
    <row r="12" spans="2:29" ht="18.5" x14ac:dyDescent="0.35">
      <c r="B12" s="25" t="s">
        <v>11</v>
      </c>
      <c r="C12" s="34">
        <v>46285</v>
      </c>
      <c r="D12" s="34">
        <v>46315</v>
      </c>
      <c r="E12" s="35">
        <v>0</v>
      </c>
      <c r="F12" s="35"/>
      <c r="X12" s="1"/>
      <c r="Y12" s="1"/>
      <c r="Z12" s="1"/>
      <c r="AA12" s="1"/>
    </row>
    <row r="13" spans="2:29" ht="30" hidden="1" customHeight="1" x14ac:dyDescent="0.35">
      <c r="B13" s="25" t="s">
        <v>76</v>
      </c>
      <c r="C13" s="34">
        <v>46211</v>
      </c>
      <c r="D13" s="34">
        <f>VLOOKUP(B13,[2]OPD!$B$1:$D$111,3,FALSE)</f>
        <v>46310</v>
      </c>
      <c r="E13" s="35">
        <v>0.2</v>
      </c>
      <c r="F13" s="35"/>
      <c r="X13" s="1"/>
      <c r="Y13" s="1"/>
      <c r="Z13" s="1"/>
      <c r="AA13" s="1"/>
    </row>
    <row r="14" spans="2:29" ht="30" hidden="1" customHeight="1" x14ac:dyDescent="0.35">
      <c r="B14" s="25" t="s">
        <v>77</v>
      </c>
      <c r="C14" s="34">
        <f>C13+25</f>
        <v>46236</v>
      </c>
      <c r="D14" s="34">
        <f>VLOOKUP(B14,[2]OPD!$B$1:$D$111,3,FALSE)</f>
        <v>46323</v>
      </c>
      <c r="E14" s="35">
        <v>0</v>
      </c>
      <c r="F14" s="35"/>
      <c r="X14" s="1"/>
      <c r="Y14" s="1"/>
      <c r="Z14" s="1"/>
      <c r="AA14" s="1"/>
    </row>
    <row r="15" spans="2:29" ht="30" hidden="1" customHeight="1" x14ac:dyDescent="0.35">
      <c r="B15" s="25" t="s">
        <v>78</v>
      </c>
      <c r="C15" s="34">
        <f t="shared" ref="C15:C16" si="1">C14+25</f>
        <v>46261</v>
      </c>
      <c r="D15" s="34">
        <f>VLOOKUP(B15,[2]OPD!$B$1:$D$111,3,FALSE)</f>
        <v>46346</v>
      </c>
      <c r="E15" s="35">
        <v>0</v>
      </c>
      <c r="F15" s="35"/>
      <c r="X15" s="1"/>
      <c r="Y15" s="1"/>
      <c r="Z15" s="1"/>
      <c r="AA15" s="1"/>
    </row>
    <row r="16" spans="2:29" ht="30" hidden="1" customHeight="1" x14ac:dyDescent="0.35">
      <c r="B16" s="25" t="s">
        <v>79</v>
      </c>
      <c r="C16" s="34">
        <f t="shared" si="1"/>
        <v>46286</v>
      </c>
      <c r="D16" s="34">
        <f>VLOOKUP(B16,[2]OPD!$B$1:$D$111,3,FALSE)</f>
        <v>46371</v>
      </c>
      <c r="E16" s="35">
        <v>0</v>
      </c>
      <c r="F16" s="35"/>
      <c r="X16" s="1"/>
      <c r="Y16" s="1"/>
      <c r="Z16" s="1"/>
      <c r="AA16" s="1"/>
    </row>
    <row r="17" spans="2:6" ht="30" customHeight="1" x14ac:dyDescent="0.35">
      <c r="B17" s="25" t="s">
        <v>13</v>
      </c>
      <c r="C17" s="34">
        <v>46285</v>
      </c>
      <c r="D17" s="34">
        <v>46320</v>
      </c>
      <c r="E17" s="35">
        <v>0.05</v>
      </c>
      <c r="F17" s="35"/>
    </row>
    <row r="18" spans="2:6" ht="30" customHeight="1" x14ac:dyDescent="0.35">
      <c r="B18" s="16" t="s">
        <v>14</v>
      </c>
      <c r="C18" s="17"/>
      <c r="D18" s="17"/>
      <c r="E18" s="18"/>
      <c r="F18" s="18"/>
    </row>
    <row r="19" spans="2:6" ht="30" customHeight="1" x14ac:dyDescent="0.35">
      <c r="B19" s="25" t="s">
        <v>15</v>
      </c>
      <c r="C19" s="34">
        <v>46262</v>
      </c>
      <c r="D19" s="34">
        <v>46301</v>
      </c>
      <c r="E19" s="35">
        <f>'UG MALE backup'!E48/'UG MALE backup'!D48</f>
        <v>0</v>
      </c>
      <c r="F19" s="35"/>
    </row>
    <row r="20" spans="2:6" ht="30" customHeight="1" x14ac:dyDescent="0.35">
      <c r="B20" s="25" t="s">
        <v>98</v>
      </c>
      <c r="C20" s="34">
        <f>MIN(C21:C24)</f>
        <v>46101</v>
      </c>
      <c r="D20" s="34">
        <f>MAX(D21:D24)</f>
        <v>46325</v>
      </c>
      <c r="E20" s="35">
        <f>AVERAGE(E21:E24)</f>
        <v>0.59250000000000003</v>
      </c>
      <c r="F20" s="35"/>
    </row>
    <row r="21" spans="2:6" ht="30" hidden="1" customHeight="1" x14ac:dyDescent="0.35">
      <c r="B21" s="25" t="s">
        <v>20</v>
      </c>
      <c r="C21" s="34">
        <v>46101</v>
      </c>
      <c r="D21" s="34">
        <v>46264</v>
      </c>
      <c r="E21" s="35">
        <v>1</v>
      </c>
      <c r="F21" s="35"/>
    </row>
    <row r="22" spans="2:6" ht="30" hidden="1" customHeight="1" x14ac:dyDescent="0.35">
      <c r="B22" s="25" t="s">
        <v>21</v>
      </c>
      <c r="C22" s="34">
        <v>46183</v>
      </c>
      <c r="D22" s="34">
        <v>46305</v>
      </c>
      <c r="E22" s="35">
        <v>0.92</v>
      </c>
      <c r="F22" s="35"/>
    </row>
    <row r="23" spans="2:6" ht="30" hidden="1" customHeight="1" x14ac:dyDescent="0.35">
      <c r="B23" s="25" t="s">
        <v>22</v>
      </c>
      <c r="C23" s="34">
        <v>46167</v>
      </c>
      <c r="D23" s="34">
        <f>VLOOKUP(B23,[2]OPD!$B$1:$D$111,3,FALSE)</f>
        <v>46295</v>
      </c>
      <c r="E23" s="35">
        <v>0.45</v>
      </c>
      <c r="F23" s="35"/>
    </row>
    <row r="24" spans="2:6" ht="30" hidden="1" customHeight="1" x14ac:dyDescent="0.35">
      <c r="B24" s="25" t="s">
        <v>23</v>
      </c>
      <c r="C24" s="34">
        <v>46193</v>
      </c>
      <c r="D24" s="34">
        <f>VLOOKUP(B24,[2]OPD!$B$1:$D$111,3,FALSE)</f>
        <v>46325</v>
      </c>
      <c r="E24" s="35">
        <v>0</v>
      </c>
      <c r="F24" s="35"/>
    </row>
    <row r="25" spans="2:6" ht="30" hidden="1" customHeight="1" x14ac:dyDescent="0.35">
      <c r="B25" s="25" t="s">
        <v>20</v>
      </c>
      <c r="C25" s="36">
        <v>46301</v>
      </c>
      <c r="D25" s="36">
        <f>VLOOKUP(B25,[2]OPD!$B$1:$D$111,3,FALSE)</f>
        <v>46310</v>
      </c>
      <c r="E25" s="35">
        <v>0</v>
      </c>
      <c r="F25" s="35"/>
    </row>
    <row r="26" spans="2:6" ht="30" hidden="1" customHeight="1" x14ac:dyDescent="0.35">
      <c r="B26" s="25" t="s">
        <v>21</v>
      </c>
      <c r="C26" s="36">
        <v>46285</v>
      </c>
      <c r="D26" s="36">
        <f>VLOOKUP(B26,[2]OPD!$B$1:$D$111,3,FALSE)</f>
        <v>46305</v>
      </c>
      <c r="E26" s="35">
        <v>0</v>
      </c>
      <c r="F26" s="35"/>
    </row>
    <row r="27" spans="2:6" ht="30" hidden="1" customHeight="1" x14ac:dyDescent="0.35">
      <c r="B27" s="25" t="s">
        <v>22</v>
      </c>
      <c r="C27" s="36">
        <v>46311</v>
      </c>
      <c r="D27" s="36">
        <v>46325</v>
      </c>
      <c r="E27" s="35">
        <v>0</v>
      </c>
      <c r="F27" s="35"/>
    </row>
    <row r="28" spans="2:6" ht="30" hidden="1" customHeight="1" x14ac:dyDescent="0.35">
      <c r="B28" s="25" t="s">
        <v>23</v>
      </c>
      <c r="C28" s="36">
        <v>46327</v>
      </c>
      <c r="D28" s="36">
        <v>46341</v>
      </c>
      <c r="E28" s="35">
        <v>0</v>
      </c>
      <c r="F28" s="35"/>
    </row>
    <row r="29" spans="2:6" ht="30" hidden="1" customHeight="1" x14ac:dyDescent="0.35">
      <c r="B29" s="25" t="s">
        <v>20</v>
      </c>
      <c r="C29" s="36">
        <f>C25+5</f>
        <v>46306</v>
      </c>
      <c r="D29" s="36">
        <v>46315</v>
      </c>
      <c r="E29" s="35">
        <v>0</v>
      </c>
      <c r="F29" s="35"/>
    </row>
    <row r="30" spans="2:6" ht="30" hidden="1" customHeight="1" x14ac:dyDescent="0.35">
      <c r="B30" s="25" t="s">
        <v>21</v>
      </c>
      <c r="C30" s="36">
        <f>C26+5</f>
        <v>46290</v>
      </c>
      <c r="D30" s="36">
        <v>46331</v>
      </c>
      <c r="E30" s="35">
        <v>0</v>
      </c>
      <c r="F30" s="35"/>
    </row>
    <row r="31" spans="2:6" ht="30" hidden="1" customHeight="1" x14ac:dyDescent="0.35">
      <c r="B31" s="25" t="s">
        <v>22</v>
      </c>
      <c r="C31" s="36">
        <f>C27+5</f>
        <v>46316</v>
      </c>
      <c r="D31" s="36">
        <v>46348</v>
      </c>
      <c r="E31" s="35">
        <v>0</v>
      </c>
      <c r="F31" s="35"/>
    </row>
    <row r="32" spans="2:6" ht="30" hidden="1" customHeight="1" x14ac:dyDescent="0.35">
      <c r="B32" s="25" t="s">
        <v>23</v>
      </c>
      <c r="C32" s="36">
        <f>C28+5</f>
        <v>46332</v>
      </c>
      <c r="D32" s="36">
        <v>46361</v>
      </c>
      <c r="E32" s="35">
        <v>0</v>
      </c>
      <c r="F32" s="35"/>
    </row>
    <row r="33" spans="2:6" ht="30" customHeight="1" x14ac:dyDescent="0.35">
      <c r="B33" s="26" t="s">
        <v>82</v>
      </c>
      <c r="C33" s="27"/>
      <c r="D33" s="27"/>
      <c r="E33" s="28"/>
      <c r="F33" s="28"/>
    </row>
    <row r="34" spans="2:6" ht="30" customHeight="1" x14ac:dyDescent="0.35">
      <c r="B34" s="16" t="s">
        <v>83</v>
      </c>
      <c r="C34" s="17"/>
      <c r="D34" s="17"/>
      <c r="E34" s="18"/>
      <c r="F34" s="18"/>
    </row>
    <row r="35" spans="2:6" ht="30" customHeight="1" x14ac:dyDescent="0.35">
      <c r="B35" s="29" t="s">
        <v>33</v>
      </c>
      <c r="C35" s="30"/>
      <c r="D35" s="30"/>
      <c r="E35" s="31"/>
      <c r="F35" s="31"/>
    </row>
    <row r="36" spans="2:6" ht="30" customHeight="1" x14ac:dyDescent="0.35">
      <c r="B36" s="25" t="s">
        <v>34</v>
      </c>
      <c r="C36" s="50"/>
      <c r="D36" s="50"/>
      <c r="E36" s="35"/>
      <c r="F36" s="35"/>
    </row>
    <row r="37" spans="2:6" ht="30" customHeight="1" x14ac:dyDescent="0.35">
      <c r="B37" s="29" t="s">
        <v>35</v>
      </c>
      <c r="C37" s="30"/>
      <c r="D37" s="30"/>
      <c r="E37" s="31"/>
      <c r="F37" s="31"/>
    </row>
    <row r="38" spans="2:6" ht="30" customHeight="1" x14ac:dyDescent="0.35">
      <c r="B38" s="25" t="s">
        <v>36</v>
      </c>
      <c r="C38" s="50"/>
      <c r="D38" s="50"/>
      <c r="E38" s="35"/>
      <c r="F38" s="35"/>
    </row>
    <row r="39" spans="2:6" ht="30" customHeight="1" x14ac:dyDescent="0.35">
      <c r="B39" s="25" t="s">
        <v>37</v>
      </c>
      <c r="C39" s="50"/>
      <c r="D39" s="50"/>
      <c r="E39" s="35"/>
      <c r="F39" s="35"/>
    </row>
    <row r="40" spans="2:6" s="1" customFormat="1" ht="30" customHeight="1" x14ac:dyDescent="0.35">
      <c r="B40" s="29" t="s">
        <v>38</v>
      </c>
      <c r="C40" s="30"/>
      <c r="D40" s="30"/>
      <c r="E40" s="31"/>
      <c r="F40" s="31"/>
    </row>
    <row r="41" spans="2:6" s="1" customFormat="1" ht="30" customHeight="1" x14ac:dyDescent="0.35">
      <c r="B41" s="25" t="s">
        <v>39</v>
      </c>
      <c r="C41" s="50"/>
      <c r="D41" s="50"/>
      <c r="E41" s="35"/>
      <c r="F41" s="35"/>
    </row>
    <row r="42" spans="2:6" s="1" customFormat="1" ht="30" customHeight="1" x14ac:dyDescent="0.35">
      <c r="B42" s="29" t="s">
        <v>41</v>
      </c>
      <c r="C42" s="30"/>
      <c r="D42" s="30"/>
      <c r="E42" s="31"/>
      <c r="F42" s="31"/>
    </row>
    <row r="43" spans="2:6" s="1" customFormat="1" ht="30" customHeight="1" x14ac:dyDescent="0.35">
      <c r="B43" s="25" t="s">
        <v>40</v>
      </c>
      <c r="C43" s="50"/>
      <c r="D43" s="50"/>
      <c r="E43" s="35"/>
      <c r="F43" s="35"/>
    </row>
    <row r="44" spans="2:6" s="1" customFormat="1" ht="30" customHeight="1" x14ac:dyDescent="0.35">
      <c r="B44" s="29" t="s">
        <v>43</v>
      </c>
      <c r="C44" s="30"/>
      <c r="D44" s="30"/>
      <c r="E44" s="31"/>
      <c r="F44" s="31"/>
    </row>
    <row r="45" spans="2:6" s="1" customFormat="1" ht="30" customHeight="1" x14ac:dyDescent="0.35">
      <c r="B45" s="25" t="s">
        <v>44</v>
      </c>
      <c r="C45" s="50"/>
      <c r="D45" s="50"/>
      <c r="E45" s="35"/>
      <c r="F45" s="35"/>
    </row>
    <row r="46" spans="2:6" s="1" customFormat="1" ht="30" customHeight="1" x14ac:dyDescent="0.35">
      <c r="B46" s="29" t="s">
        <v>45</v>
      </c>
      <c r="C46" s="30"/>
      <c r="D46" s="30"/>
      <c r="E46" s="31"/>
      <c r="F46" s="31"/>
    </row>
    <row r="47" spans="2:6" s="1" customFormat="1" ht="30" customHeight="1" x14ac:dyDescent="0.35">
      <c r="B47" s="25" t="s">
        <v>84</v>
      </c>
      <c r="C47" s="50"/>
      <c r="D47" s="50"/>
      <c r="E47" s="35"/>
      <c r="F47" s="35"/>
    </row>
    <row r="48" spans="2:6" s="1" customFormat="1" ht="30" customHeight="1" x14ac:dyDescent="0.35">
      <c r="B48" s="29" t="s">
        <v>85</v>
      </c>
      <c r="C48" s="30"/>
      <c r="D48" s="30"/>
      <c r="E48" s="31"/>
      <c r="F48" s="31"/>
    </row>
    <row r="49" spans="2:6" s="1" customFormat="1" ht="30" customHeight="1" x14ac:dyDescent="0.35">
      <c r="B49" s="29" t="s">
        <v>33</v>
      </c>
      <c r="C49" s="30"/>
      <c r="D49" s="30"/>
      <c r="E49" s="31"/>
      <c r="F49" s="31"/>
    </row>
    <row r="50" spans="2:6" s="1" customFormat="1" ht="30" customHeight="1" x14ac:dyDescent="0.35">
      <c r="B50" s="25" t="s">
        <v>46</v>
      </c>
      <c r="C50" s="50"/>
      <c r="D50" s="50"/>
      <c r="E50" s="35"/>
      <c r="F50" s="35"/>
    </row>
    <row r="51" spans="2:6" s="1" customFormat="1" ht="30" customHeight="1" x14ac:dyDescent="0.35">
      <c r="B51" s="25" t="s">
        <v>47</v>
      </c>
      <c r="C51" s="50"/>
      <c r="D51" s="50"/>
      <c r="E51" s="35"/>
      <c r="F51" s="35"/>
    </row>
    <row r="52" spans="2:6" s="1" customFormat="1" ht="30" customHeight="1" x14ac:dyDescent="0.35">
      <c r="B52" s="25" t="s">
        <v>48</v>
      </c>
      <c r="C52" s="50"/>
      <c r="D52" s="50"/>
      <c r="E52" s="35"/>
      <c r="F52" s="35"/>
    </row>
    <row r="53" spans="2:6" s="1" customFormat="1" ht="30" customHeight="1" x14ac:dyDescent="0.35">
      <c r="B53" s="25" t="s">
        <v>49</v>
      </c>
      <c r="C53" s="50"/>
      <c r="D53" s="50"/>
      <c r="E53" s="35"/>
      <c r="F53" s="35"/>
    </row>
    <row r="54" spans="2:6" s="1" customFormat="1" ht="30" customHeight="1" x14ac:dyDescent="0.35">
      <c r="B54" s="29" t="s">
        <v>35</v>
      </c>
      <c r="C54" s="30"/>
      <c r="D54" s="30"/>
      <c r="E54" s="31"/>
      <c r="F54" s="31"/>
    </row>
    <row r="55" spans="2:6" s="1" customFormat="1" ht="30" customHeight="1" x14ac:dyDescent="0.35">
      <c r="B55" s="25" t="s">
        <v>50</v>
      </c>
      <c r="C55" s="50"/>
      <c r="D55" s="50"/>
      <c r="E55" s="35"/>
      <c r="F55" s="35"/>
    </row>
    <row r="56" spans="2:6" s="1" customFormat="1" ht="30" customHeight="1" x14ac:dyDescent="0.35">
      <c r="B56" s="29" t="s">
        <v>38</v>
      </c>
      <c r="C56" s="30"/>
      <c r="D56" s="30"/>
      <c r="E56" s="31"/>
      <c r="F56" s="31"/>
    </row>
    <row r="57" spans="2:6" s="1" customFormat="1" ht="30" customHeight="1" x14ac:dyDescent="0.35">
      <c r="B57" s="25" t="s">
        <v>51</v>
      </c>
      <c r="C57" s="50"/>
      <c r="D57" s="50"/>
      <c r="E57" s="35"/>
      <c r="F57" s="35"/>
    </row>
    <row r="58" spans="2:6" s="1" customFormat="1" ht="30" customHeight="1" x14ac:dyDescent="0.35">
      <c r="B58" s="25" t="s">
        <v>52</v>
      </c>
      <c r="C58" s="50"/>
      <c r="D58" s="50"/>
      <c r="E58" s="35"/>
      <c r="F58" s="35"/>
    </row>
    <row r="59" spans="2:6" s="1" customFormat="1" ht="30" customHeight="1" x14ac:dyDescent="0.35">
      <c r="B59" s="25" t="s">
        <v>53</v>
      </c>
      <c r="C59" s="50"/>
      <c r="D59" s="50"/>
      <c r="E59" s="35"/>
      <c r="F59" s="35"/>
    </row>
    <row r="60" spans="2:6" s="1" customFormat="1" ht="30" customHeight="1" x14ac:dyDescent="0.35">
      <c r="B60" s="29" t="s">
        <v>41</v>
      </c>
      <c r="C60" s="30"/>
      <c r="D60" s="30"/>
      <c r="E60" s="31"/>
      <c r="F60" s="31"/>
    </row>
    <row r="61" spans="2:6" s="1" customFormat="1" ht="30" customHeight="1" x14ac:dyDescent="0.35">
      <c r="B61" s="25" t="s">
        <v>54</v>
      </c>
      <c r="C61" s="50"/>
      <c r="D61" s="50"/>
      <c r="E61" s="35"/>
      <c r="F61" s="35"/>
    </row>
    <row r="62" spans="2:6" s="1" customFormat="1" ht="30" customHeight="1" x14ac:dyDescent="0.35">
      <c r="B62" s="25" t="s">
        <v>55</v>
      </c>
      <c r="C62" s="50"/>
      <c r="D62" s="50"/>
      <c r="E62" s="35"/>
      <c r="F62" s="35"/>
    </row>
    <row r="63" spans="2:6" s="1" customFormat="1" ht="30" customHeight="1" x14ac:dyDescent="0.35">
      <c r="B63" s="29" t="s">
        <v>42</v>
      </c>
      <c r="C63" s="30"/>
      <c r="D63" s="30"/>
      <c r="E63" s="31"/>
      <c r="F63" s="31"/>
    </row>
    <row r="64" spans="2:6" s="1" customFormat="1" ht="30" customHeight="1" x14ac:dyDescent="0.35">
      <c r="B64" s="25" t="s">
        <v>56</v>
      </c>
      <c r="C64" s="50"/>
      <c r="D64" s="50"/>
      <c r="E64" s="35"/>
      <c r="F64" s="35"/>
    </row>
    <row r="65" spans="2:6" s="1" customFormat="1" ht="30" customHeight="1" x14ac:dyDescent="0.35">
      <c r="B65" s="25" t="s">
        <v>57</v>
      </c>
      <c r="C65" s="50"/>
      <c r="D65" s="50"/>
      <c r="E65" s="35"/>
      <c r="F65" s="35"/>
    </row>
    <row r="66" spans="2:6" s="1" customFormat="1" ht="30" customHeight="1" x14ac:dyDescent="0.35">
      <c r="B66" s="25" t="s">
        <v>58</v>
      </c>
      <c r="C66" s="50"/>
      <c r="D66" s="50"/>
      <c r="E66" s="35"/>
      <c r="F66" s="35"/>
    </row>
    <row r="67" spans="2:6" s="1" customFormat="1" ht="30" customHeight="1" x14ac:dyDescent="0.35">
      <c r="B67" s="25" t="s">
        <v>59</v>
      </c>
      <c r="C67" s="50"/>
      <c r="D67" s="50"/>
      <c r="E67" s="35"/>
      <c r="F67" s="35"/>
    </row>
    <row r="68" spans="2:6" s="1" customFormat="1" ht="30" customHeight="1" x14ac:dyDescent="0.35">
      <c r="B68" s="29" t="s">
        <v>43</v>
      </c>
      <c r="C68" s="30"/>
      <c r="D68" s="30"/>
      <c r="E68" s="31"/>
      <c r="F68" s="31"/>
    </row>
    <row r="69" spans="2:6" s="1" customFormat="1" ht="30" customHeight="1" x14ac:dyDescent="0.35">
      <c r="B69" s="25" t="s">
        <v>60</v>
      </c>
      <c r="C69" s="50"/>
      <c r="D69" s="50"/>
      <c r="E69" s="35"/>
      <c r="F69" s="35"/>
    </row>
    <row r="70" spans="2:6" s="1" customFormat="1" ht="30" customHeight="1" x14ac:dyDescent="0.35">
      <c r="B70" s="29" t="s">
        <v>45</v>
      </c>
      <c r="C70" s="30"/>
      <c r="D70" s="30"/>
      <c r="E70" s="31"/>
      <c r="F70" s="31"/>
    </row>
    <row r="71" spans="2:6" s="1" customFormat="1" ht="30" customHeight="1" x14ac:dyDescent="0.35">
      <c r="B71" s="25" t="s">
        <v>61</v>
      </c>
      <c r="C71" s="50"/>
      <c r="D71" s="50"/>
      <c r="E71" s="35"/>
      <c r="F71" s="35"/>
    </row>
    <row r="72" spans="2:6" s="1" customFormat="1" ht="30" customHeight="1" x14ac:dyDescent="0.35">
      <c r="B72" s="16" t="s">
        <v>86</v>
      </c>
      <c r="C72" s="52"/>
      <c r="D72" s="52"/>
      <c r="E72" s="18"/>
      <c r="F72" s="18"/>
    </row>
    <row r="73" spans="2:6" s="1" customFormat="1" ht="30" customHeight="1" x14ac:dyDescent="0.35">
      <c r="B73" s="29" t="s">
        <v>33</v>
      </c>
      <c r="C73" s="30"/>
      <c r="D73" s="30"/>
      <c r="E73" s="31"/>
      <c r="F73" s="31"/>
    </row>
    <row r="74" spans="2:6" s="1" customFormat="1" ht="30" customHeight="1" x14ac:dyDescent="0.35">
      <c r="B74" s="25" t="s">
        <v>87</v>
      </c>
      <c r="C74" s="50"/>
      <c r="D74" s="50"/>
      <c r="E74" s="35"/>
      <c r="F74" s="35"/>
    </row>
    <row r="75" spans="2:6" s="1" customFormat="1" ht="30" customHeight="1" x14ac:dyDescent="0.35">
      <c r="B75" s="25" t="s">
        <v>62</v>
      </c>
      <c r="C75" s="50"/>
      <c r="D75" s="50"/>
      <c r="E75" s="35"/>
      <c r="F75" s="35"/>
    </row>
    <row r="76" spans="2:6" s="1" customFormat="1" ht="30" customHeight="1" x14ac:dyDescent="0.35">
      <c r="B76" s="25" t="s">
        <v>63</v>
      </c>
      <c r="C76" s="50"/>
      <c r="D76" s="50"/>
      <c r="E76" s="35"/>
      <c r="F76" s="35"/>
    </row>
    <row r="77" spans="2:6" s="1" customFormat="1" ht="30" customHeight="1" x14ac:dyDescent="0.35">
      <c r="B77" s="25" t="s">
        <v>64</v>
      </c>
      <c r="C77" s="50"/>
      <c r="D77" s="50"/>
      <c r="E77" s="35"/>
      <c r="F77" s="35"/>
    </row>
    <row r="78" spans="2:6" s="1" customFormat="1" ht="30" customHeight="1" x14ac:dyDescent="0.35">
      <c r="B78" s="29" t="s">
        <v>35</v>
      </c>
      <c r="C78" s="30"/>
      <c r="D78" s="30"/>
      <c r="E78" s="31"/>
      <c r="F78" s="31"/>
    </row>
    <row r="79" spans="2:6" s="1" customFormat="1" ht="30" customHeight="1" x14ac:dyDescent="0.35">
      <c r="B79" s="25" t="s">
        <v>65</v>
      </c>
      <c r="C79" s="50"/>
      <c r="D79" s="50"/>
      <c r="E79" s="35"/>
      <c r="F79" s="35"/>
    </row>
    <row r="80" spans="2:6" s="1" customFormat="1" ht="30" customHeight="1" x14ac:dyDescent="0.35">
      <c r="B80" s="29" t="s">
        <v>38</v>
      </c>
      <c r="C80" s="30"/>
      <c r="D80" s="30"/>
      <c r="E80" s="31"/>
      <c r="F80" s="31"/>
    </row>
    <row r="81" spans="2:6" s="1" customFormat="1" ht="30" customHeight="1" x14ac:dyDescent="0.35">
      <c r="B81" s="25" t="s">
        <v>66</v>
      </c>
      <c r="C81" s="50"/>
      <c r="D81" s="50"/>
      <c r="E81" s="35"/>
      <c r="F81" s="35"/>
    </row>
    <row r="82" spans="2:6" s="1" customFormat="1" ht="30" customHeight="1" x14ac:dyDescent="0.35">
      <c r="B82" s="25" t="s">
        <v>67</v>
      </c>
      <c r="C82" s="50"/>
      <c r="D82" s="50"/>
      <c r="E82" s="35"/>
      <c r="F82" s="35"/>
    </row>
    <row r="83" spans="2:6" s="1" customFormat="1" ht="30" customHeight="1" x14ac:dyDescent="0.35">
      <c r="B83" s="29" t="s">
        <v>41</v>
      </c>
      <c r="C83" s="30"/>
      <c r="D83" s="30"/>
      <c r="E83" s="31"/>
      <c r="F83" s="31"/>
    </row>
    <row r="84" spans="2:6" s="1" customFormat="1" ht="30" customHeight="1" x14ac:dyDescent="0.35">
      <c r="B84" s="25" t="s">
        <v>68</v>
      </c>
      <c r="C84" s="50"/>
      <c r="D84" s="50"/>
      <c r="E84" s="35"/>
      <c r="F84" s="35"/>
    </row>
    <row r="85" spans="2:6" s="1" customFormat="1" ht="30" customHeight="1" x14ac:dyDescent="0.35">
      <c r="B85" s="29" t="s">
        <v>42</v>
      </c>
      <c r="C85" s="30"/>
      <c r="D85" s="30"/>
      <c r="E85" s="31"/>
      <c r="F85" s="31"/>
    </row>
    <row r="86" spans="2:6" s="1" customFormat="1" ht="30" customHeight="1" x14ac:dyDescent="0.35">
      <c r="B86" s="25" t="s">
        <v>88</v>
      </c>
      <c r="C86" s="50"/>
      <c r="D86" s="50"/>
      <c r="E86" s="35"/>
      <c r="F86" s="35"/>
    </row>
    <row r="87" spans="2:6" s="1" customFormat="1" ht="30" customHeight="1" x14ac:dyDescent="0.35">
      <c r="B87" s="25" t="s">
        <v>89</v>
      </c>
      <c r="C87" s="50"/>
      <c r="D87" s="50"/>
      <c r="E87" s="35"/>
      <c r="F87" s="35"/>
    </row>
    <row r="88" spans="2:6" s="1" customFormat="1" ht="30" customHeight="1" x14ac:dyDescent="0.35">
      <c r="B88" s="25" t="s">
        <v>69</v>
      </c>
      <c r="C88" s="50"/>
      <c r="D88" s="50"/>
      <c r="E88" s="35"/>
      <c r="F88" s="35"/>
    </row>
    <row r="89" spans="2:6" s="1" customFormat="1" ht="30" customHeight="1" x14ac:dyDescent="0.35">
      <c r="B89" s="25" t="s">
        <v>70</v>
      </c>
      <c r="C89" s="50"/>
      <c r="D89" s="50"/>
      <c r="E89" s="35"/>
      <c r="F89" s="35"/>
    </row>
    <row r="90" spans="2:6" s="1" customFormat="1" ht="30" customHeight="1" x14ac:dyDescent="0.35">
      <c r="B90" s="25" t="s">
        <v>71</v>
      </c>
      <c r="C90" s="50"/>
      <c r="D90" s="50"/>
      <c r="E90" s="35"/>
      <c r="F90" s="35"/>
    </row>
    <row r="91" spans="2:6" s="1" customFormat="1" ht="30" customHeight="1" x14ac:dyDescent="0.35">
      <c r="B91" s="29" t="s">
        <v>43</v>
      </c>
      <c r="C91" s="30"/>
      <c r="D91" s="30"/>
      <c r="E91" s="31"/>
      <c r="F91" s="31"/>
    </row>
    <row r="92" spans="2:6" s="1" customFormat="1" ht="30" customHeight="1" x14ac:dyDescent="0.35">
      <c r="B92" s="25" t="s">
        <v>72</v>
      </c>
      <c r="C92" s="50"/>
      <c r="D92" s="50"/>
      <c r="E92" s="35"/>
      <c r="F92" s="35"/>
    </row>
    <row r="93" spans="2:6" s="1" customFormat="1" ht="30" customHeight="1" x14ac:dyDescent="0.35">
      <c r="B93" s="29" t="s">
        <v>45</v>
      </c>
      <c r="C93" s="30"/>
      <c r="D93" s="30"/>
      <c r="E93" s="31"/>
      <c r="F93" s="31"/>
    </row>
    <row r="94" spans="2:6" s="1" customFormat="1" ht="30" customHeight="1" x14ac:dyDescent="0.35">
      <c r="B94" s="25" t="s">
        <v>73</v>
      </c>
      <c r="C94" s="50"/>
      <c r="D94" s="50"/>
      <c r="E94" s="35"/>
      <c r="F94" s="35"/>
    </row>
    <row r="95" spans="2:6" s="1" customFormat="1" ht="30" customHeight="1" x14ac:dyDescent="0.35">
      <c r="B95" s="29" t="s">
        <v>90</v>
      </c>
      <c r="C95" s="30"/>
      <c r="D95" s="30"/>
      <c r="E95" s="31"/>
      <c r="F95" s="31"/>
    </row>
    <row r="96" spans="2:6" s="1" customFormat="1" ht="30" customHeight="1" x14ac:dyDescent="0.35">
      <c r="B96" s="25" t="s">
        <v>91</v>
      </c>
      <c r="C96" s="50"/>
      <c r="D96" s="50"/>
      <c r="E96" s="35"/>
      <c r="F96" s="35"/>
    </row>
    <row r="97" spans="2:6" s="1" customFormat="1" ht="30" customHeight="1" x14ac:dyDescent="0.35">
      <c r="B97" s="25" t="s">
        <v>92</v>
      </c>
      <c r="C97" s="50"/>
      <c r="D97" s="50"/>
      <c r="E97" s="35"/>
      <c r="F97" s="35"/>
    </row>
    <row r="98" spans="2:6" s="1" customFormat="1" ht="30" customHeight="1" x14ac:dyDescent="0.35">
      <c r="B98" s="25" t="s">
        <v>93</v>
      </c>
      <c r="C98" s="50"/>
      <c r="D98" s="50"/>
      <c r="E98" s="35"/>
      <c r="F98" s="35"/>
    </row>
    <row r="99" spans="2:6" s="1" customFormat="1" ht="30" customHeight="1" x14ac:dyDescent="0.35">
      <c r="B99" s="25" t="s">
        <v>94</v>
      </c>
      <c r="C99" s="50"/>
      <c r="D99" s="50"/>
      <c r="E99" s="35"/>
      <c r="F99" s="35"/>
    </row>
    <row r="100" spans="2:6" s="1" customFormat="1" ht="30" customHeight="1" x14ac:dyDescent="0.35">
      <c r="B100" s="25" t="s">
        <v>95</v>
      </c>
      <c r="C100" s="50"/>
      <c r="D100" s="50"/>
      <c r="E100" s="35"/>
      <c r="F100" s="35"/>
    </row>
    <row r="101" spans="2:6" s="1" customFormat="1" ht="30" customHeight="1" x14ac:dyDescent="0.35">
      <c r="B101" s="29" t="s">
        <v>96</v>
      </c>
      <c r="C101" s="30"/>
      <c r="D101" s="30"/>
      <c r="E101" s="31"/>
      <c r="F101" s="31"/>
    </row>
    <row r="102" spans="2:6" s="1" customFormat="1" ht="30" customHeight="1" x14ac:dyDescent="0.35">
      <c r="B102" s="25" t="s">
        <v>24</v>
      </c>
      <c r="C102" s="50"/>
      <c r="D102" s="50"/>
      <c r="E102" s="35"/>
      <c r="F102" s="35"/>
    </row>
    <row r="103" spans="2:6" s="1" customFormat="1" ht="30" customHeight="1" x14ac:dyDescent="0.35">
      <c r="B103" s="25" t="s">
        <v>25</v>
      </c>
      <c r="C103" s="50"/>
      <c r="D103" s="50"/>
      <c r="E103" s="35"/>
      <c r="F103" s="35"/>
    </row>
    <row r="104" spans="2:6" s="1" customFormat="1" ht="30" customHeight="1" x14ac:dyDescent="0.35">
      <c r="B104" s="25" t="s">
        <v>26</v>
      </c>
      <c r="C104" s="50"/>
      <c r="D104" s="50"/>
      <c r="E104" s="35"/>
      <c r="F104" s="35"/>
    </row>
    <row r="105" spans="2:6" s="1" customFormat="1" ht="30" customHeight="1" x14ac:dyDescent="0.35">
      <c r="B105" s="25" t="s">
        <v>27</v>
      </c>
      <c r="C105" s="50"/>
      <c r="D105" s="50"/>
      <c r="E105" s="35"/>
      <c r="F105" s="35"/>
    </row>
    <row r="106" spans="2:6" s="1" customFormat="1" ht="30" customHeight="1" x14ac:dyDescent="0.35">
      <c r="B106" s="25" t="s">
        <v>28</v>
      </c>
      <c r="C106" s="50"/>
      <c r="D106" s="50"/>
      <c r="E106" s="35"/>
      <c r="F106" s="35"/>
    </row>
  </sheetData>
  <mergeCells count="6">
    <mergeCell ref="M2:O2"/>
    <mergeCell ref="B3:B4"/>
    <mergeCell ref="C3:C4"/>
    <mergeCell ref="D3:D4"/>
    <mergeCell ref="E3:E4"/>
    <mergeCell ref="F3:F4"/>
  </mergeCells>
  <conditionalFormatting sqref="G7:V7 G12:AA36 G18:V117">
    <cfRule type="expression" dxfId="903" priority="867">
      <formula>AND($C7&lt;&gt;"",$D7&lt;&gt;"",$E7&lt;&gt;"",$C7&lt;=EOMONTH(G$4,0),($C7+(($D7-$C7)*$E7))&gt;=G$4)</formula>
    </cfRule>
    <cfRule type="expression" dxfId="902" priority="868">
      <formula>AND($C7&lt;&gt;"",$D7&lt;&gt;"",$C7&lt;=EOMONTH(G$4,0),$D7&gt;=G$4)</formula>
    </cfRule>
  </conditionalFormatting>
  <conditionalFormatting sqref="G7:V11">
    <cfRule type="expression" dxfId="901" priority="7">
      <formula>AND($C7&lt;&gt;"",$D7&lt;&gt;"",$E7&gt;0,$C7&lt;=EOMONTH(G$4,0),($C7+(($D7-$C7)*$E7))&gt;=G$4)</formula>
    </cfRule>
    <cfRule type="expression" dxfId="900" priority="8">
      <formula>AND($C7&lt;&gt;"",$D7&lt;&gt;"",$C7&lt;=EOMONTH(G$4,0),$D7&gt;=G$4)</formula>
    </cfRule>
    <cfRule type="expression" dxfId="899" priority="865">
      <formula>AND($C7&lt;&gt;"",$D7&lt;&gt;"",$E7&lt;&gt;"",$C7&lt;=EOMONTH(G$4,0),($C7+(($D7-$C7)*$E7))&gt;=G$4)</formula>
    </cfRule>
    <cfRule type="expression" dxfId="898" priority="866">
      <formula>AND($C7&lt;&gt;"",$D7&lt;&gt;"",$C7&lt;=EOMONTH(G$4,0),$D7&gt;=G$4)</formula>
    </cfRule>
  </conditionalFormatting>
  <conditionalFormatting sqref="G9:V11">
    <cfRule type="expression" dxfId="897" priority="863">
      <formula>AND($C9&lt;&gt;"",$D9&lt;&gt;"",$E9&lt;&gt;"",$C9&lt;=EOMONTH(G$4,0),($C9+(($D9-$C9)*$E9))&gt;=G$4)</formula>
    </cfRule>
    <cfRule type="expression" dxfId="896" priority="864">
      <formula>AND($C9&lt;&gt;"",$D9&lt;&gt;"",$C9&lt;=EOMONTH(G$4,0),$D9&gt;=G$4)</formula>
    </cfRule>
  </conditionalFormatting>
  <conditionalFormatting sqref="G4:W5">
    <cfRule type="expression" dxfId="895" priority="874">
      <formula>G$4=period_selected</formula>
    </cfRule>
  </conditionalFormatting>
  <conditionalFormatting sqref="G5:W5">
    <cfRule type="expression" dxfId="894" priority="877">
      <formula>AND(G$4&gt;=#REF!,G$4&lt;=$D5)</formula>
    </cfRule>
  </conditionalFormatting>
  <conditionalFormatting sqref="G6:W11 G12:AA36">
    <cfRule type="expression" dxfId="893" priority="869">
      <formula>PercentCompleteBeyond</formula>
    </cfRule>
    <cfRule type="expression" dxfId="892" priority="870">
      <formula>Actual</formula>
    </cfRule>
    <cfRule type="expression" dxfId="891" priority="871">
      <formula>ActualBeyond</formula>
    </cfRule>
    <cfRule type="expression" dxfId="890" priority="872">
      <formula>Plan</formula>
    </cfRule>
    <cfRule type="expression" dxfId="889" priority="873">
      <formula>G$4=period_selected</formula>
    </cfRule>
    <cfRule type="expression" dxfId="888" priority="875">
      <formula>MOD(COLUMN(),2)</formula>
    </cfRule>
    <cfRule type="expression" dxfId="887" priority="876">
      <formula>MOD(COLUMN(),2)=0</formula>
    </cfRule>
  </conditionalFormatting>
  <conditionalFormatting sqref="G7:W106">
    <cfRule type="expression" dxfId="886" priority="857">
      <formula>AND($C7&lt;&gt;"",$D7&lt;&gt;"",$E7&gt;0,$C7&lt;=EOMONTH(G$4,0),($C7+(($D7-$C7)*$E7))&gt;=G$4)</formula>
    </cfRule>
  </conditionalFormatting>
  <conditionalFormatting sqref="G25:W117">
    <cfRule type="expression" dxfId="885" priority="13">
      <formula>PercentCompleteBeyond</formula>
    </cfRule>
    <cfRule type="expression" dxfId="884" priority="14">
      <formula>Actual</formula>
    </cfRule>
    <cfRule type="expression" dxfId="883" priority="15">
      <formula>ActualBeyond</formula>
    </cfRule>
    <cfRule type="expression" dxfId="882" priority="16">
      <formula>Plan</formula>
    </cfRule>
    <cfRule type="expression" dxfId="881" priority="17">
      <formula>G$4=period_selected</formula>
    </cfRule>
    <cfRule type="expression" dxfId="880" priority="18">
      <formula>MOD(COLUMN(),2)</formula>
    </cfRule>
    <cfRule type="expression" dxfId="879" priority="19">
      <formula>MOD(COLUMN(),2)=0</formula>
    </cfRule>
  </conditionalFormatting>
  <conditionalFormatting sqref="G12:AA36">
    <cfRule type="expression" dxfId="878" priority="3">
      <formula>AND($C12&lt;&gt;"",$D12&lt;&gt;"",$E12&gt;0,$C12&lt;=EOMONTH(G$4,0),($C12+(($D12-$C12)*$E12))&gt;=G$4)</formula>
    </cfRule>
    <cfRule type="expression" dxfId="877" priority="4">
      <formula>AND($C12&lt;&gt;"",$D12&lt;&gt;"",$C12&lt;=EOMONTH(G$4,0),$D12&gt;=G$4)</formula>
    </cfRule>
  </conditionalFormatting>
  <dataValidations count="11"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G2" xr:uid="{69E6E5B2-3862-4D6A-AC1C-DF750A6EEB8A}">
      <formula1>$G$4:$W$4</formula1>
    </dataValidation>
    <dataValidation allowBlank="1" showInputMessage="1" showErrorMessage="1" prompt="Select a period to highlight in H2. A Chart legend is in J2 to AI2" sqref="B2:E2" xr:uid="{A8A3E4E8-C5AB-4825-963B-2C77E75AEA59}"/>
    <dataValidation allowBlank="1" showInputMessage="1" showErrorMessage="1" prompt="Enter actual duration period in column F, starting with cell F5" sqref="D3:E5" xr:uid="{34103278-4398-4BA8-B03B-280E5D9D3052}"/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" xr:uid="{76A48B43-406E-4571-B184-A5188A4F597D}"/>
    <dataValidation allowBlank="1" showInputMessage="1" showErrorMessage="1" prompt="This legend cell indicates plan duration" sqref="I2" xr:uid="{FCE351DB-F0E5-43A3-BDD9-D69A4A9DFA9A}"/>
    <dataValidation allowBlank="1" showInputMessage="1" showErrorMessage="1" prompt="This legend cell indicates the percentage of project completed" sqref="T2" xr:uid="{B443A4E4-1069-4AC3-A918-95853B5E6F66}"/>
    <dataValidation allowBlank="1" showInputMessage="1" showErrorMessage="1" prompt="Periods are charted from 1 to 60 starting from cell H4 to cell BO4 " sqref="G3" xr:uid="{79FC2326-E165-4CE8-B9AA-F159240C3DE4}"/>
    <dataValidation allowBlank="1" showInputMessage="1" showErrorMessage="1" prompt="Enter activity in column B, starting with cell B5_x000a_" sqref="B3:B5" xr:uid="{7ACBBCE6-C3DF-40B1-B330-B8AEF219B762}"/>
    <dataValidation allowBlank="1" showInputMessage="1" showErrorMessage="1" prompt="Enter plan start period in column C, starting with cell C5" sqref="C3:C5" xr:uid="{B10A9E0B-707B-4E27-8340-8DB99420B260}"/>
    <dataValidation allowBlank="1" showInputMessage="1" showErrorMessage="1" prompt="Enter the percentage of project completed in column G, starting with cell G5" sqref="E3:E5" xr:uid="{2235EA7C-826D-4C0D-A17A-C764E68AFCF3}"/>
    <dataValidation allowBlank="1" showInputMessage="1" showErrorMessage="1" prompt="Title of the project. Enter a new title in this cell. Highlight a period in H2. Chart legend is in J2 to AI2" sqref="B1" xr:uid="{3583E50C-0442-4F48-897E-6549E27AA91E}"/>
  </dataValidations>
  <printOptions horizontalCentered="1"/>
  <pageMargins left="0.45" right="0.45" top="0.5" bottom="0.5" header="0.3" footer="0.3"/>
  <pageSetup paperSize="8" scale="75" fitToHeight="0" orientation="landscape" r:id="rId1"/>
  <headerFooter differentFirst="1">
    <oddFooter>&amp;L_x000D_&amp;1#&amp;"Aptos"&amp;8&amp;K000000 Sensitivity: LNT Construction Internal Use</oddFooter>
    <firstFooter>&amp;L_x000D_&amp;1#&amp;"Aptos"&amp;8&amp;K000000 Sensitivity: LNT Construction Internal Use</first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3C5AF-1F1D-4CA3-AE91-5A366FE8C9E0}">
  <dimension ref="A1:K76"/>
  <sheetViews>
    <sheetView topLeftCell="A42" zoomScale="72" workbookViewId="0">
      <selection activeCell="F45" sqref="F45"/>
    </sheetView>
  </sheetViews>
  <sheetFormatPr defaultColWidth="8.58203125" defaultRowHeight="14.5" x14ac:dyDescent="0.35"/>
  <cols>
    <col min="1" max="1" width="8.58203125" style="53"/>
    <col min="2" max="2" width="23.33203125" style="53" bestFit="1" customWidth="1"/>
    <col min="3" max="4" width="8.58203125" style="53"/>
    <col min="5" max="5" width="13.75" style="53" bestFit="1" customWidth="1"/>
    <col min="6" max="6" width="10" style="53" bestFit="1" customWidth="1"/>
    <col min="7" max="7" width="13.83203125" style="53" bestFit="1" customWidth="1"/>
    <col min="8" max="8" width="27.83203125" style="53" bestFit="1" customWidth="1"/>
    <col min="9" max="9" width="14.25" style="53" bestFit="1" customWidth="1"/>
    <col min="10" max="10" width="28.33203125" style="53" bestFit="1" customWidth="1"/>
    <col min="11" max="11" width="48.5" style="53" bestFit="1" customWidth="1"/>
    <col min="12" max="16384" width="8.58203125" style="53"/>
  </cols>
  <sheetData>
    <row r="1" spans="1:11" ht="21.5" thickBot="1" x14ac:dyDescent="0.4">
      <c r="A1" s="283" t="s">
        <v>99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</row>
    <row r="2" spans="1:11" ht="15" thickBot="1" x14ac:dyDescent="0.4">
      <c r="A2" s="276" t="s">
        <v>100</v>
      </c>
      <c r="B2" s="276" t="s">
        <v>101</v>
      </c>
      <c r="C2" s="284" t="s">
        <v>102</v>
      </c>
      <c r="D2" s="284" t="s">
        <v>103</v>
      </c>
      <c r="E2" s="284" t="s">
        <v>104</v>
      </c>
      <c r="F2" s="276" t="s">
        <v>105</v>
      </c>
      <c r="G2" s="276" t="s">
        <v>106</v>
      </c>
      <c r="H2" s="276" t="s">
        <v>107</v>
      </c>
      <c r="I2" s="284" t="s">
        <v>108</v>
      </c>
      <c r="J2" s="279" t="s">
        <v>109</v>
      </c>
      <c r="K2" s="282" t="s">
        <v>97</v>
      </c>
    </row>
    <row r="3" spans="1:11" ht="15" thickBot="1" x14ac:dyDescent="0.4">
      <c r="A3" s="276"/>
      <c r="B3" s="276"/>
      <c r="C3" s="275"/>
      <c r="D3" s="275"/>
      <c r="E3" s="275"/>
      <c r="F3" s="276"/>
      <c r="G3" s="276"/>
      <c r="H3" s="276"/>
      <c r="I3" s="275"/>
      <c r="J3" s="279"/>
      <c r="K3" s="281"/>
    </row>
    <row r="4" spans="1:11" ht="21.5" thickBot="1" x14ac:dyDescent="0.4">
      <c r="A4" s="54">
        <v>1</v>
      </c>
      <c r="B4" s="54" t="s">
        <v>110</v>
      </c>
      <c r="C4" s="54" t="s">
        <v>111</v>
      </c>
      <c r="D4" s="54">
        <v>1196</v>
      </c>
      <c r="E4" s="54">
        <v>1181</v>
      </c>
      <c r="F4" s="54">
        <v>8</v>
      </c>
      <c r="G4" s="55"/>
      <c r="H4" s="56"/>
      <c r="I4" s="56" t="s">
        <v>112</v>
      </c>
      <c r="J4" s="57">
        <v>46285</v>
      </c>
      <c r="K4" s="58"/>
    </row>
    <row r="5" spans="1:11" ht="42.5" thickBot="1" x14ac:dyDescent="0.4">
      <c r="A5" s="54">
        <v>3</v>
      </c>
      <c r="B5" s="59" t="s">
        <v>113</v>
      </c>
      <c r="C5" s="54" t="s">
        <v>114</v>
      </c>
      <c r="D5" s="54">
        <v>5234</v>
      </c>
      <c r="E5" s="54">
        <v>4924</v>
      </c>
      <c r="F5" s="54">
        <f t="shared" ref="F5:F33" si="0">D5-E5</f>
        <v>310</v>
      </c>
      <c r="G5" s="55"/>
      <c r="H5" s="60"/>
      <c r="I5" s="57" t="s">
        <v>112</v>
      </c>
      <c r="J5" s="57" t="s">
        <v>115</v>
      </c>
      <c r="K5" s="61" t="s">
        <v>116</v>
      </c>
    </row>
    <row r="6" spans="1:11" ht="42.5" thickBot="1" x14ac:dyDescent="0.4">
      <c r="A6" s="54">
        <v>4</v>
      </c>
      <c r="B6" s="59" t="s">
        <v>117</v>
      </c>
      <c r="C6" s="54" t="s">
        <v>114</v>
      </c>
      <c r="D6" s="54">
        <v>6051</v>
      </c>
      <c r="E6" s="54">
        <v>5301</v>
      </c>
      <c r="F6" s="54">
        <f t="shared" si="0"/>
        <v>750</v>
      </c>
      <c r="G6" s="55"/>
      <c r="H6" s="60"/>
      <c r="I6" s="57" t="s">
        <v>112</v>
      </c>
      <c r="J6" s="57">
        <v>46287</v>
      </c>
      <c r="K6" s="61" t="s">
        <v>118</v>
      </c>
    </row>
    <row r="7" spans="1:11" ht="21.5" thickBot="1" x14ac:dyDescent="0.4">
      <c r="A7" s="54">
        <v>5</v>
      </c>
      <c r="B7" s="59" t="s">
        <v>119</v>
      </c>
      <c r="C7" s="54" t="s">
        <v>114</v>
      </c>
      <c r="D7" s="54">
        <v>11938</v>
      </c>
      <c r="E7" s="54">
        <v>1170</v>
      </c>
      <c r="F7" s="54">
        <f t="shared" si="0"/>
        <v>10768</v>
      </c>
      <c r="G7" s="55"/>
      <c r="H7" s="60"/>
      <c r="I7" s="57" t="s">
        <v>112</v>
      </c>
      <c r="J7" s="57" t="s">
        <v>120</v>
      </c>
      <c r="K7" s="62" t="s">
        <v>121</v>
      </c>
    </row>
    <row r="8" spans="1:11" ht="42.5" thickBot="1" x14ac:dyDescent="0.4">
      <c r="A8" s="54">
        <v>6</v>
      </c>
      <c r="B8" s="59" t="s">
        <v>122</v>
      </c>
      <c r="C8" s="54" t="s">
        <v>123</v>
      </c>
      <c r="D8" s="54">
        <v>368</v>
      </c>
      <c r="E8" s="54">
        <v>348</v>
      </c>
      <c r="F8" s="54">
        <f t="shared" si="0"/>
        <v>20</v>
      </c>
      <c r="G8" s="55"/>
      <c r="H8" s="60"/>
      <c r="I8" s="57" t="s">
        <v>112</v>
      </c>
      <c r="J8" s="57" t="s">
        <v>115</v>
      </c>
      <c r="K8" s="62"/>
    </row>
    <row r="9" spans="1:11" ht="21.5" thickBot="1" x14ac:dyDescent="0.4">
      <c r="A9" s="54" t="s">
        <v>124</v>
      </c>
      <c r="B9" s="59" t="s">
        <v>125</v>
      </c>
      <c r="C9" s="54" t="s">
        <v>126</v>
      </c>
      <c r="D9" s="54">
        <v>260</v>
      </c>
      <c r="E9" s="54">
        <v>220</v>
      </c>
      <c r="F9" s="54">
        <f t="shared" si="0"/>
        <v>40</v>
      </c>
      <c r="G9" s="55"/>
      <c r="H9" s="60"/>
      <c r="I9" s="57" t="s">
        <v>112</v>
      </c>
      <c r="J9" s="57" t="s">
        <v>127</v>
      </c>
      <c r="K9" s="62" t="s">
        <v>128</v>
      </c>
    </row>
    <row r="10" spans="1:11" ht="21.5" thickBot="1" x14ac:dyDescent="0.4">
      <c r="A10" s="54" t="s">
        <v>129</v>
      </c>
      <c r="B10" s="59" t="s">
        <v>130</v>
      </c>
      <c r="C10" s="54" t="s">
        <v>126</v>
      </c>
      <c r="D10" s="54">
        <v>42</v>
      </c>
      <c r="E10" s="54">
        <v>35</v>
      </c>
      <c r="F10" s="54">
        <f t="shared" si="0"/>
        <v>7</v>
      </c>
      <c r="G10" s="55"/>
      <c r="H10" s="60"/>
      <c r="I10" s="57" t="s">
        <v>112</v>
      </c>
      <c r="J10" s="57" t="s">
        <v>115</v>
      </c>
      <c r="K10" s="62"/>
    </row>
    <row r="11" spans="1:11" ht="21.5" thickBot="1" x14ac:dyDescent="0.4">
      <c r="A11" s="54">
        <v>7</v>
      </c>
      <c r="B11" s="59" t="s">
        <v>131</v>
      </c>
      <c r="C11" s="54" t="s">
        <v>114</v>
      </c>
      <c r="D11" s="54">
        <v>105</v>
      </c>
      <c r="E11" s="54">
        <v>0</v>
      </c>
      <c r="F11" s="54">
        <f t="shared" si="0"/>
        <v>105</v>
      </c>
      <c r="G11" s="55"/>
      <c r="H11" s="60"/>
      <c r="I11" s="57"/>
      <c r="J11" s="57"/>
      <c r="K11" s="62" t="s">
        <v>132</v>
      </c>
    </row>
    <row r="12" spans="1:11" ht="21.5" thickBot="1" x14ac:dyDescent="0.4">
      <c r="A12" s="54">
        <v>8</v>
      </c>
      <c r="B12" s="59" t="s">
        <v>133</v>
      </c>
      <c r="C12" s="54" t="s">
        <v>114</v>
      </c>
      <c r="D12" s="54">
        <v>125</v>
      </c>
      <c r="E12" s="54">
        <v>0</v>
      </c>
      <c r="F12" s="54">
        <f t="shared" si="0"/>
        <v>125</v>
      </c>
      <c r="G12" s="55"/>
      <c r="H12" s="60"/>
      <c r="I12" s="57"/>
      <c r="J12" s="57"/>
      <c r="K12" s="62" t="s">
        <v>104</v>
      </c>
    </row>
    <row r="13" spans="1:11" ht="21.5" thickBot="1" x14ac:dyDescent="0.4">
      <c r="A13" s="54" t="s">
        <v>134</v>
      </c>
      <c r="B13" s="59" t="s">
        <v>135</v>
      </c>
      <c r="C13" s="54" t="s">
        <v>114</v>
      </c>
      <c r="D13" s="54">
        <v>35</v>
      </c>
      <c r="E13" s="54">
        <v>4</v>
      </c>
      <c r="F13" s="54">
        <f t="shared" si="0"/>
        <v>31</v>
      </c>
      <c r="G13" s="55"/>
      <c r="H13" s="60"/>
      <c r="I13" s="57" t="s">
        <v>112</v>
      </c>
      <c r="J13" s="57" t="s">
        <v>136</v>
      </c>
      <c r="K13" s="62" t="s">
        <v>137</v>
      </c>
    </row>
    <row r="14" spans="1:11" ht="21.5" thickBot="1" x14ac:dyDescent="0.4">
      <c r="A14" s="54">
        <v>2</v>
      </c>
      <c r="B14" s="59" t="s">
        <v>138</v>
      </c>
      <c r="C14" s="54" t="s">
        <v>126</v>
      </c>
      <c r="D14" s="54">
        <v>137</v>
      </c>
      <c r="E14" s="54">
        <v>137</v>
      </c>
      <c r="F14" s="54">
        <f>D14-E14</f>
        <v>0</v>
      </c>
      <c r="G14" s="55"/>
      <c r="H14" s="60"/>
      <c r="I14" s="57"/>
      <c r="J14" s="57"/>
      <c r="K14" s="62" t="s">
        <v>104</v>
      </c>
    </row>
    <row r="15" spans="1:11" ht="21.5" thickBot="1" x14ac:dyDescent="0.4">
      <c r="A15" s="54">
        <v>9</v>
      </c>
      <c r="B15" s="59" t="s">
        <v>139</v>
      </c>
      <c r="C15" s="54" t="s">
        <v>126</v>
      </c>
      <c r="D15" s="54">
        <v>137</v>
      </c>
      <c r="E15" s="54">
        <v>137</v>
      </c>
      <c r="F15" s="54">
        <f t="shared" si="0"/>
        <v>0</v>
      </c>
      <c r="G15" s="55"/>
      <c r="H15" s="60"/>
      <c r="I15" s="57"/>
      <c r="J15" s="57"/>
      <c r="K15" s="62" t="s">
        <v>104</v>
      </c>
    </row>
    <row r="16" spans="1:11" ht="21.5" thickBot="1" x14ac:dyDescent="0.4">
      <c r="A16" s="54">
        <v>10</v>
      </c>
      <c r="B16" s="59" t="s">
        <v>140</v>
      </c>
      <c r="C16" s="54" t="s">
        <v>114</v>
      </c>
      <c r="D16" s="54">
        <v>4646</v>
      </c>
      <c r="E16" s="54">
        <v>3830</v>
      </c>
      <c r="F16" s="54">
        <f t="shared" si="0"/>
        <v>816</v>
      </c>
      <c r="G16" s="55"/>
      <c r="H16" s="60"/>
      <c r="I16" s="57" t="s">
        <v>112</v>
      </c>
      <c r="J16" s="57">
        <v>46305</v>
      </c>
      <c r="K16" s="62"/>
    </row>
    <row r="17" spans="1:11" ht="21.5" thickBot="1" x14ac:dyDescent="0.4">
      <c r="A17" s="54" t="s">
        <v>141</v>
      </c>
      <c r="B17" s="59" t="s">
        <v>142</v>
      </c>
      <c r="C17" s="54" t="s">
        <v>114</v>
      </c>
      <c r="D17" s="54">
        <v>4646</v>
      </c>
      <c r="E17" s="54">
        <v>0</v>
      </c>
      <c r="F17" s="54">
        <f t="shared" si="0"/>
        <v>4646</v>
      </c>
      <c r="G17" s="55"/>
      <c r="H17" s="60"/>
      <c r="I17" s="57" t="s">
        <v>112</v>
      </c>
      <c r="J17" s="57">
        <v>46310</v>
      </c>
      <c r="K17" s="62"/>
    </row>
    <row r="18" spans="1:11" ht="21.5" thickBot="1" x14ac:dyDescent="0.4">
      <c r="A18" s="54">
        <v>11</v>
      </c>
      <c r="B18" s="59" t="s">
        <v>143</v>
      </c>
      <c r="C18" s="54" t="s">
        <v>144</v>
      </c>
      <c r="D18" s="54">
        <v>2448</v>
      </c>
      <c r="E18" s="54">
        <v>1713</v>
      </c>
      <c r="F18" s="54">
        <f t="shared" si="0"/>
        <v>735</v>
      </c>
      <c r="G18" s="55"/>
      <c r="H18" s="60"/>
      <c r="I18" s="57" t="s">
        <v>112</v>
      </c>
      <c r="J18" s="57">
        <v>46305</v>
      </c>
      <c r="K18" s="62"/>
    </row>
    <row r="19" spans="1:11" ht="63.5" thickBot="1" x14ac:dyDescent="0.4">
      <c r="A19" s="54">
        <v>12</v>
      </c>
      <c r="B19" s="59" t="s">
        <v>145</v>
      </c>
      <c r="C19" s="54" t="s">
        <v>114</v>
      </c>
      <c r="D19" s="54">
        <v>1350</v>
      </c>
      <c r="E19" s="54">
        <v>650</v>
      </c>
      <c r="F19" s="54">
        <f t="shared" si="0"/>
        <v>700</v>
      </c>
      <c r="G19" s="55"/>
      <c r="H19" s="60"/>
      <c r="I19" s="57" t="s">
        <v>112</v>
      </c>
      <c r="J19" s="57">
        <v>46305</v>
      </c>
      <c r="K19" s="61" t="s">
        <v>146</v>
      </c>
    </row>
    <row r="20" spans="1:11" ht="21.5" thickBot="1" x14ac:dyDescent="0.4">
      <c r="A20" s="54">
        <v>13</v>
      </c>
      <c r="B20" s="59" t="s">
        <v>147</v>
      </c>
      <c r="C20" s="54" t="s">
        <v>114</v>
      </c>
      <c r="D20" s="54">
        <v>110</v>
      </c>
      <c r="E20" s="54">
        <v>83</v>
      </c>
      <c r="F20" s="54">
        <f t="shared" si="0"/>
        <v>27</v>
      </c>
      <c r="G20" s="55"/>
      <c r="H20" s="60"/>
      <c r="I20" s="57" t="s">
        <v>112</v>
      </c>
      <c r="J20" s="57">
        <v>46295</v>
      </c>
      <c r="K20" s="62"/>
    </row>
    <row r="21" spans="1:11" ht="21.5" thickBot="1" x14ac:dyDescent="0.4">
      <c r="A21" s="54">
        <v>14</v>
      </c>
      <c r="B21" s="59" t="s">
        <v>148</v>
      </c>
      <c r="C21" s="54" t="s">
        <v>114</v>
      </c>
      <c r="D21" s="54">
        <v>17172</v>
      </c>
      <c r="E21" s="54">
        <v>0</v>
      </c>
      <c r="F21" s="54">
        <f t="shared" si="0"/>
        <v>17172</v>
      </c>
      <c r="G21" s="55"/>
      <c r="H21" s="60"/>
      <c r="I21" s="57" t="s">
        <v>112</v>
      </c>
      <c r="J21" s="57">
        <v>46300</v>
      </c>
      <c r="K21" s="62" t="s">
        <v>149</v>
      </c>
    </row>
    <row r="22" spans="1:11" ht="21.5" thickBot="1" x14ac:dyDescent="0.4">
      <c r="A22" s="54">
        <v>15</v>
      </c>
      <c r="B22" s="59" t="s">
        <v>150</v>
      </c>
      <c r="C22" s="54" t="s">
        <v>114</v>
      </c>
      <c r="D22" s="54">
        <v>5457</v>
      </c>
      <c r="E22" s="54">
        <v>0</v>
      </c>
      <c r="F22" s="54">
        <f t="shared" si="0"/>
        <v>5457</v>
      </c>
      <c r="G22" s="55"/>
      <c r="H22" s="60"/>
      <c r="I22" s="57">
        <v>46296</v>
      </c>
      <c r="J22" s="57" t="s">
        <v>151</v>
      </c>
      <c r="K22" s="62" t="s">
        <v>152</v>
      </c>
    </row>
    <row r="23" spans="1:11" ht="21.5" thickBot="1" x14ac:dyDescent="0.4">
      <c r="A23" s="54">
        <v>16</v>
      </c>
      <c r="B23" s="59" t="s">
        <v>153</v>
      </c>
      <c r="C23" s="54" t="s">
        <v>114</v>
      </c>
      <c r="D23" s="54">
        <v>535</v>
      </c>
      <c r="E23" s="54">
        <v>0</v>
      </c>
      <c r="F23" s="54">
        <f t="shared" si="0"/>
        <v>535</v>
      </c>
      <c r="G23" s="55"/>
      <c r="H23" s="60" t="s">
        <v>154</v>
      </c>
      <c r="I23" s="57" t="s">
        <v>155</v>
      </c>
      <c r="J23" s="57" t="s">
        <v>115</v>
      </c>
      <c r="K23" s="62" t="s">
        <v>156</v>
      </c>
    </row>
    <row r="24" spans="1:11" ht="21.5" thickBot="1" x14ac:dyDescent="0.4">
      <c r="A24" s="54">
        <v>17</v>
      </c>
      <c r="B24" s="59" t="s">
        <v>157</v>
      </c>
      <c r="C24" s="54" t="s">
        <v>126</v>
      </c>
      <c r="D24" s="54">
        <v>137</v>
      </c>
      <c r="E24" s="54">
        <v>0</v>
      </c>
      <c r="F24" s="54">
        <f t="shared" si="0"/>
        <v>137</v>
      </c>
      <c r="G24" s="55"/>
      <c r="H24" s="60"/>
      <c r="I24" s="57">
        <v>46277</v>
      </c>
      <c r="J24" s="57">
        <v>46305</v>
      </c>
      <c r="K24" s="62" t="s">
        <v>158</v>
      </c>
    </row>
    <row r="25" spans="1:11" ht="21.5" thickBot="1" x14ac:dyDescent="0.4">
      <c r="A25" s="54">
        <v>18</v>
      </c>
      <c r="B25" s="59" t="s">
        <v>159</v>
      </c>
      <c r="C25" s="54" t="s">
        <v>126</v>
      </c>
      <c r="D25" s="54">
        <v>86</v>
      </c>
      <c r="E25" s="54">
        <v>0</v>
      </c>
      <c r="F25" s="54">
        <f t="shared" si="0"/>
        <v>86</v>
      </c>
      <c r="G25" s="55"/>
      <c r="H25" s="60"/>
      <c r="I25" s="57" t="s">
        <v>112</v>
      </c>
      <c r="J25" s="57" t="s">
        <v>120</v>
      </c>
      <c r="K25" s="62" t="s">
        <v>137</v>
      </c>
    </row>
    <row r="26" spans="1:11" ht="21.5" thickBot="1" x14ac:dyDescent="0.4">
      <c r="A26" s="54">
        <v>19</v>
      </c>
      <c r="B26" s="59" t="s">
        <v>160</v>
      </c>
      <c r="C26" s="54" t="s">
        <v>126</v>
      </c>
      <c r="D26" s="54">
        <v>10</v>
      </c>
      <c r="E26" s="54">
        <v>0</v>
      </c>
      <c r="F26" s="54">
        <f t="shared" si="0"/>
        <v>10</v>
      </c>
      <c r="G26" s="55"/>
      <c r="H26" s="60" t="s">
        <v>161</v>
      </c>
      <c r="I26" s="57"/>
      <c r="J26" s="57"/>
      <c r="K26" s="62" t="s">
        <v>162</v>
      </c>
    </row>
    <row r="27" spans="1:11" ht="21.5" thickBot="1" x14ac:dyDescent="0.4">
      <c r="A27" s="54">
        <v>20</v>
      </c>
      <c r="B27" s="59" t="s">
        <v>163</v>
      </c>
      <c r="C27" s="54" t="s">
        <v>126</v>
      </c>
      <c r="D27" s="54">
        <v>26</v>
      </c>
      <c r="E27" s="54">
        <v>12</v>
      </c>
      <c r="F27" s="54">
        <f t="shared" si="0"/>
        <v>14</v>
      </c>
      <c r="G27" s="55"/>
      <c r="H27" s="60" t="s">
        <v>164</v>
      </c>
      <c r="I27" s="57">
        <v>46296</v>
      </c>
      <c r="J27" s="57">
        <v>46305</v>
      </c>
      <c r="K27" s="62" t="s">
        <v>165</v>
      </c>
    </row>
    <row r="28" spans="1:11" ht="21.5" thickBot="1" x14ac:dyDescent="0.4">
      <c r="A28" s="54">
        <v>21</v>
      </c>
      <c r="B28" s="59" t="s">
        <v>166</v>
      </c>
      <c r="C28" s="54" t="s">
        <v>126</v>
      </c>
      <c r="D28" s="54">
        <v>121</v>
      </c>
      <c r="E28" s="54">
        <v>0</v>
      </c>
      <c r="F28" s="54">
        <f t="shared" si="0"/>
        <v>121</v>
      </c>
      <c r="G28" s="55"/>
      <c r="H28" s="60" t="s">
        <v>167</v>
      </c>
      <c r="I28" s="57" t="s">
        <v>136</v>
      </c>
      <c r="J28" s="57" t="s">
        <v>120</v>
      </c>
      <c r="K28" s="62" t="s">
        <v>168</v>
      </c>
    </row>
    <row r="29" spans="1:11" ht="21.5" thickBot="1" x14ac:dyDescent="0.4">
      <c r="A29" s="54">
        <v>22</v>
      </c>
      <c r="B29" s="59" t="s">
        <v>169</v>
      </c>
      <c r="C29" s="54" t="s">
        <v>126</v>
      </c>
      <c r="D29" s="54">
        <v>42</v>
      </c>
      <c r="E29" s="54">
        <v>14</v>
      </c>
      <c r="F29" s="54">
        <f t="shared" si="0"/>
        <v>28</v>
      </c>
      <c r="G29" s="55"/>
      <c r="H29" s="60" t="s">
        <v>167</v>
      </c>
      <c r="I29" s="57" t="s">
        <v>136</v>
      </c>
      <c r="J29" s="57" t="s">
        <v>120</v>
      </c>
      <c r="K29" s="62" t="s">
        <v>168</v>
      </c>
    </row>
    <row r="30" spans="1:11" ht="42.5" thickBot="1" x14ac:dyDescent="0.4">
      <c r="A30" s="54" t="s">
        <v>170</v>
      </c>
      <c r="B30" s="59" t="s">
        <v>171</v>
      </c>
      <c r="C30" s="54" t="s">
        <v>126</v>
      </c>
      <c r="D30" s="54">
        <v>121</v>
      </c>
      <c r="E30" s="54">
        <v>0</v>
      </c>
      <c r="F30" s="54">
        <f>D30-E30</f>
        <v>121</v>
      </c>
      <c r="G30" s="55"/>
      <c r="H30" s="60" t="s">
        <v>161</v>
      </c>
      <c r="I30" s="57" t="s">
        <v>136</v>
      </c>
      <c r="J30" s="57" t="s">
        <v>120</v>
      </c>
      <c r="K30" s="62" t="s">
        <v>168</v>
      </c>
    </row>
    <row r="31" spans="1:11" ht="21.5" thickBot="1" x14ac:dyDescent="0.4">
      <c r="A31" s="54"/>
      <c r="B31" s="59" t="s">
        <v>172</v>
      </c>
      <c r="C31" s="54" t="s">
        <v>126</v>
      </c>
      <c r="D31" s="54">
        <v>104</v>
      </c>
      <c r="E31" s="54">
        <v>88</v>
      </c>
      <c r="F31" s="54">
        <f t="shared" si="0"/>
        <v>16</v>
      </c>
      <c r="G31" s="55"/>
      <c r="H31" s="60"/>
      <c r="I31" s="57"/>
      <c r="J31" s="57" t="s">
        <v>173</v>
      </c>
      <c r="K31" s="62"/>
    </row>
    <row r="32" spans="1:11" ht="21.5" thickBot="1" x14ac:dyDescent="0.4">
      <c r="A32" s="54">
        <v>23</v>
      </c>
      <c r="B32" s="59" t="s">
        <v>174</v>
      </c>
      <c r="C32" s="54" t="s">
        <v>126</v>
      </c>
      <c r="D32" s="54">
        <v>104</v>
      </c>
      <c r="E32" s="54">
        <v>78</v>
      </c>
      <c r="F32" s="54">
        <f t="shared" si="0"/>
        <v>26</v>
      </c>
      <c r="G32" s="55"/>
      <c r="H32" s="60"/>
      <c r="I32" s="57"/>
      <c r="J32" s="57">
        <v>46290</v>
      </c>
      <c r="K32" s="62" t="s">
        <v>175</v>
      </c>
    </row>
    <row r="33" spans="1:11" ht="21.5" thickBot="1" x14ac:dyDescent="0.4">
      <c r="A33" s="54">
        <v>24</v>
      </c>
      <c r="B33" s="59" t="s">
        <v>176</v>
      </c>
      <c r="C33" s="54" t="s">
        <v>126</v>
      </c>
      <c r="D33" s="54">
        <v>121</v>
      </c>
      <c r="E33" s="54">
        <v>0</v>
      </c>
      <c r="F33" s="54">
        <f t="shared" si="0"/>
        <v>121</v>
      </c>
      <c r="G33" s="55"/>
      <c r="H33" s="60"/>
      <c r="I33" s="57"/>
      <c r="J33" s="57"/>
      <c r="K33" s="62" t="s">
        <v>177</v>
      </c>
    </row>
    <row r="34" spans="1:11" ht="63.5" thickBot="1" x14ac:dyDescent="0.4">
      <c r="A34" s="54">
        <v>25</v>
      </c>
      <c r="B34" s="59" t="s">
        <v>178</v>
      </c>
      <c r="C34" s="54" t="s">
        <v>144</v>
      </c>
      <c r="D34" s="54">
        <f>121*4</f>
        <v>484</v>
      </c>
      <c r="E34" s="54">
        <v>0</v>
      </c>
      <c r="F34" s="54">
        <v>484</v>
      </c>
      <c r="G34" s="55"/>
      <c r="H34" s="60"/>
      <c r="I34" s="57"/>
      <c r="J34" s="57"/>
      <c r="K34" s="62" t="s">
        <v>179</v>
      </c>
    </row>
    <row r="35" spans="1:11" ht="42.5" thickBot="1" x14ac:dyDescent="0.4">
      <c r="A35" s="54">
        <v>26</v>
      </c>
      <c r="B35" s="59" t="s">
        <v>180</v>
      </c>
      <c r="C35" s="54" t="s">
        <v>114</v>
      </c>
      <c r="D35" s="54">
        <v>242</v>
      </c>
      <c r="E35" s="54">
        <v>0</v>
      </c>
      <c r="F35" s="54">
        <v>242</v>
      </c>
      <c r="G35" s="55"/>
      <c r="H35" s="60"/>
      <c r="I35" s="57"/>
      <c r="J35" s="57"/>
      <c r="K35" s="62" t="s">
        <v>179</v>
      </c>
    </row>
    <row r="36" spans="1:11" ht="21.5" thickBot="1" x14ac:dyDescent="0.4">
      <c r="A36" s="54">
        <v>27</v>
      </c>
      <c r="B36" s="59" t="s">
        <v>181</v>
      </c>
      <c r="C36" s="54" t="s">
        <v>114</v>
      </c>
      <c r="D36" s="54">
        <v>310</v>
      </c>
      <c r="E36" s="54">
        <v>0</v>
      </c>
      <c r="F36" s="54">
        <v>280</v>
      </c>
      <c r="G36" s="55"/>
      <c r="H36" s="60"/>
      <c r="I36" s="57"/>
      <c r="J36" s="57"/>
      <c r="K36" s="62" t="s">
        <v>179</v>
      </c>
    </row>
    <row r="37" spans="1:11" ht="21.5" thickBot="1" x14ac:dyDescent="0.4">
      <c r="A37" s="54">
        <v>28</v>
      </c>
      <c r="B37" s="59" t="s">
        <v>182</v>
      </c>
      <c r="C37" s="54" t="s">
        <v>114</v>
      </c>
      <c r="D37" s="54">
        <v>96</v>
      </c>
      <c r="E37" s="54">
        <v>0</v>
      </c>
      <c r="F37" s="54">
        <v>96</v>
      </c>
      <c r="G37" s="55"/>
      <c r="H37" s="60"/>
      <c r="I37" s="57"/>
      <c r="J37" s="57"/>
      <c r="K37" s="62" t="s">
        <v>179</v>
      </c>
    </row>
    <row r="38" spans="1:11" ht="21.5" thickBot="1" x14ac:dyDescent="0.4">
      <c r="A38" s="283" t="s">
        <v>183</v>
      </c>
      <c r="B38" s="283"/>
      <c r="C38" s="283"/>
      <c r="D38" s="283"/>
      <c r="E38" s="283"/>
      <c r="F38" s="283"/>
      <c r="G38" s="283"/>
      <c r="H38" s="283"/>
      <c r="I38" s="283"/>
      <c r="J38" s="283"/>
      <c r="K38" s="283"/>
    </row>
    <row r="39" spans="1:11" ht="21.5" thickBot="1" x14ac:dyDescent="0.4">
      <c r="A39" s="54" t="s">
        <v>100</v>
      </c>
      <c r="B39" s="59" t="s">
        <v>101</v>
      </c>
      <c r="C39" s="54" t="s">
        <v>102</v>
      </c>
      <c r="D39" s="54" t="s">
        <v>103</v>
      </c>
      <c r="E39" s="54" t="s">
        <v>104</v>
      </c>
      <c r="F39" s="54" t="s">
        <v>105</v>
      </c>
      <c r="G39" s="55" t="s">
        <v>106</v>
      </c>
      <c r="H39" s="60" t="s">
        <v>107</v>
      </c>
      <c r="I39" s="57" t="s">
        <v>108</v>
      </c>
      <c r="J39" s="57" t="s">
        <v>109</v>
      </c>
      <c r="K39" s="62" t="s">
        <v>97</v>
      </c>
    </row>
    <row r="40" spans="1:11" ht="21.5" thickBot="1" x14ac:dyDescent="0.4">
      <c r="A40" s="54"/>
      <c r="B40" s="59"/>
      <c r="C40" s="54"/>
      <c r="D40" s="54"/>
      <c r="E40" s="54"/>
      <c r="F40" s="54"/>
      <c r="G40" s="55"/>
      <c r="H40" s="60"/>
      <c r="I40" s="57"/>
      <c r="J40" s="57"/>
      <c r="K40" s="62"/>
    </row>
    <row r="41" spans="1:11" ht="21.5" thickBot="1" x14ac:dyDescent="0.4">
      <c r="A41" s="54">
        <v>1</v>
      </c>
      <c r="B41" s="59" t="s">
        <v>110</v>
      </c>
      <c r="C41" s="54" t="s">
        <v>111</v>
      </c>
      <c r="D41" s="54">
        <v>63</v>
      </c>
      <c r="E41" s="54">
        <v>63</v>
      </c>
      <c r="F41" s="54">
        <f t="shared" ref="F41:F54" si="1">D41-E41</f>
        <v>0</v>
      </c>
      <c r="G41" s="55"/>
      <c r="H41" s="60"/>
      <c r="I41" s="57"/>
      <c r="J41" s="57"/>
      <c r="K41" s="62"/>
    </row>
    <row r="42" spans="1:11" ht="42.5" thickBot="1" x14ac:dyDescent="0.4">
      <c r="A42" s="54">
        <v>2</v>
      </c>
      <c r="B42" s="59" t="s">
        <v>113</v>
      </c>
      <c r="C42" s="54" t="s">
        <v>114</v>
      </c>
      <c r="D42" s="54">
        <v>180</v>
      </c>
      <c r="E42" s="54">
        <v>180</v>
      </c>
      <c r="F42" s="54">
        <f t="shared" si="1"/>
        <v>0</v>
      </c>
      <c r="G42" s="55">
        <f>F42/31</f>
        <v>0</v>
      </c>
      <c r="H42" s="60"/>
      <c r="I42" s="57"/>
      <c r="J42" s="57"/>
      <c r="K42" s="62"/>
    </row>
    <row r="43" spans="1:11" ht="42.5" thickBot="1" x14ac:dyDescent="0.4">
      <c r="A43" s="54">
        <v>4</v>
      </c>
      <c r="B43" s="59" t="s">
        <v>117</v>
      </c>
      <c r="C43" s="54" t="s">
        <v>114</v>
      </c>
      <c r="D43" s="54">
        <v>200</v>
      </c>
      <c r="E43" s="54">
        <v>120</v>
      </c>
      <c r="F43" s="54">
        <f t="shared" si="1"/>
        <v>80</v>
      </c>
      <c r="G43" s="55">
        <f>F43/40</f>
        <v>2</v>
      </c>
      <c r="H43" s="60"/>
      <c r="I43" s="57">
        <v>46298</v>
      </c>
      <c r="J43" s="57">
        <v>46318</v>
      </c>
      <c r="K43" s="62"/>
    </row>
    <row r="44" spans="1:11" ht="42.5" thickBot="1" x14ac:dyDescent="0.4">
      <c r="A44" s="54">
        <v>5</v>
      </c>
      <c r="B44" s="59" t="s">
        <v>184</v>
      </c>
      <c r="C44" s="54" t="s">
        <v>126</v>
      </c>
      <c r="D44" s="54">
        <v>6</v>
      </c>
      <c r="E44" s="54">
        <v>6</v>
      </c>
      <c r="F44" s="54">
        <f t="shared" si="1"/>
        <v>0</v>
      </c>
      <c r="G44" s="55">
        <f>F44/1</f>
        <v>0</v>
      </c>
      <c r="H44" s="60"/>
      <c r="I44" s="57"/>
      <c r="J44" s="57"/>
      <c r="K44" s="62"/>
    </row>
    <row r="45" spans="1:11" ht="42.5" thickBot="1" x14ac:dyDescent="0.4">
      <c r="A45" s="54">
        <v>6</v>
      </c>
      <c r="B45" s="59" t="s">
        <v>185</v>
      </c>
      <c r="C45" s="54" t="s">
        <v>126</v>
      </c>
      <c r="D45" s="54">
        <v>52</v>
      </c>
      <c r="E45" s="54">
        <v>52</v>
      </c>
      <c r="F45" s="54">
        <f t="shared" si="1"/>
        <v>0</v>
      </c>
      <c r="G45" s="55">
        <f>F45/24</f>
        <v>0</v>
      </c>
      <c r="H45" s="60"/>
      <c r="I45" s="57"/>
      <c r="J45" s="57"/>
      <c r="K45" s="62"/>
    </row>
    <row r="46" spans="1:11" ht="21.5" thickBot="1" x14ac:dyDescent="0.4">
      <c r="A46" s="54">
        <v>7</v>
      </c>
      <c r="B46" s="59" t="s">
        <v>186</v>
      </c>
      <c r="C46" s="54" t="s">
        <v>114</v>
      </c>
      <c r="D46" s="54">
        <v>870</v>
      </c>
      <c r="E46" s="54">
        <v>870</v>
      </c>
      <c r="F46" s="54">
        <f t="shared" si="1"/>
        <v>0</v>
      </c>
      <c r="G46" s="55">
        <f>F46/40</f>
        <v>0</v>
      </c>
      <c r="H46" s="60"/>
      <c r="I46" s="57"/>
      <c r="J46" s="57"/>
      <c r="K46" s="62"/>
    </row>
    <row r="47" spans="1:11" ht="42.5" thickBot="1" x14ac:dyDescent="0.4">
      <c r="A47" s="54">
        <v>8</v>
      </c>
      <c r="B47" s="59" t="s">
        <v>187</v>
      </c>
      <c r="C47" s="54" t="s">
        <v>114</v>
      </c>
      <c r="D47" s="54">
        <v>90</v>
      </c>
      <c r="E47" s="54">
        <v>90</v>
      </c>
      <c r="F47" s="54">
        <f t="shared" si="1"/>
        <v>0</v>
      </c>
      <c r="G47" s="55"/>
      <c r="H47" s="60"/>
      <c r="I47" s="57"/>
      <c r="J47" s="57"/>
      <c r="K47" s="62"/>
    </row>
    <row r="48" spans="1:11" ht="21.5" thickBot="1" x14ac:dyDescent="0.4">
      <c r="A48" s="54">
        <v>9</v>
      </c>
      <c r="B48" s="59" t="s">
        <v>188</v>
      </c>
      <c r="C48" s="54" t="s">
        <v>114</v>
      </c>
      <c r="D48" s="54">
        <v>90</v>
      </c>
      <c r="E48" s="54"/>
      <c r="F48" s="54">
        <f t="shared" si="1"/>
        <v>90</v>
      </c>
      <c r="G48" s="55"/>
      <c r="H48" s="60"/>
      <c r="I48" s="57">
        <v>46296</v>
      </c>
      <c r="J48" s="57" t="s">
        <v>189</v>
      </c>
      <c r="K48" s="62"/>
    </row>
    <row r="49" spans="1:11" ht="21.5" thickBot="1" x14ac:dyDescent="0.4">
      <c r="A49" s="54">
        <v>10</v>
      </c>
      <c r="B49" s="59" t="s">
        <v>190</v>
      </c>
      <c r="C49" s="54" t="s">
        <v>126</v>
      </c>
      <c r="D49" s="54">
        <v>3</v>
      </c>
      <c r="E49" s="54">
        <v>1</v>
      </c>
      <c r="F49" s="54">
        <f t="shared" si="1"/>
        <v>2</v>
      </c>
      <c r="G49" s="55">
        <f>F49/1</f>
        <v>2</v>
      </c>
      <c r="H49" s="60" t="s">
        <v>161</v>
      </c>
      <c r="I49" s="57"/>
      <c r="J49" s="57"/>
      <c r="K49" s="62" t="s">
        <v>165</v>
      </c>
    </row>
    <row r="50" spans="1:11" ht="21.5" thickBot="1" x14ac:dyDescent="0.4">
      <c r="A50" s="54">
        <v>11</v>
      </c>
      <c r="B50" s="59" t="s">
        <v>191</v>
      </c>
      <c r="C50" s="54" t="s">
        <v>114</v>
      </c>
      <c r="D50" s="54">
        <v>250</v>
      </c>
      <c r="E50" s="54">
        <v>250</v>
      </c>
      <c r="F50" s="54">
        <f t="shared" si="1"/>
        <v>0</v>
      </c>
      <c r="G50" s="55">
        <f>F50/24</f>
        <v>0</v>
      </c>
      <c r="H50" s="60" t="s">
        <v>161</v>
      </c>
      <c r="I50" s="57">
        <v>46305</v>
      </c>
      <c r="J50" s="57" t="s">
        <v>192</v>
      </c>
      <c r="K50" s="62"/>
    </row>
    <row r="51" spans="1:11" ht="21.5" thickBot="1" x14ac:dyDescent="0.4">
      <c r="A51" s="54">
        <v>12</v>
      </c>
      <c r="B51" s="59" t="s">
        <v>193</v>
      </c>
      <c r="C51" s="54" t="s">
        <v>114</v>
      </c>
      <c r="D51" s="54">
        <v>390</v>
      </c>
      <c r="E51" s="54">
        <v>0</v>
      </c>
      <c r="F51" s="54">
        <f t="shared" si="1"/>
        <v>390</v>
      </c>
      <c r="G51" s="55">
        <f>F51/40</f>
        <v>9.75</v>
      </c>
      <c r="H51" s="60"/>
      <c r="I51" s="57">
        <v>46315</v>
      </c>
      <c r="J51" s="57" t="s">
        <v>194</v>
      </c>
      <c r="K51" s="62"/>
    </row>
    <row r="52" spans="1:11" ht="42.5" thickBot="1" x14ac:dyDescent="0.4">
      <c r="A52" s="54">
        <v>13</v>
      </c>
      <c r="B52" s="59" t="s">
        <v>195</v>
      </c>
      <c r="C52" s="54" t="s">
        <v>126</v>
      </c>
      <c r="D52" s="54">
        <v>6</v>
      </c>
      <c r="E52" s="54">
        <v>0</v>
      </c>
      <c r="F52" s="54">
        <f t="shared" si="1"/>
        <v>6</v>
      </c>
      <c r="G52" s="55"/>
      <c r="H52" s="60"/>
      <c r="I52" s="57"/>
      <c r="J52" s="57"/>
      <c r="K52" s="62"/>
    </row>
    <row r="53" spans="1:11" ht="42.5" thickBot="1" x14ac:dyDescent="0.4">
      <c r="A53" s="63">
        <v>14</v>
      </c>
      <c r="B53" s="64" t="s">
        <v>196</v>
      </c>
      <c r="C53" s="63" t="s">
        <v>144</v>
      </c>
      <c r="D53" s="63">
        <v>16</v>
      </c>
      <c r="E53" s="63"/>
      <c r="F53" s="63"/>
      <c r="G53" s="65"/>
      <c r="H53" s="66"/>
      <c r="I53" s="67"/>
      <c r="J53" s="66"/>
      <c r="K53" s="64"/>
    </row>
    <row r="54" spans="1:11" ht="21.5" thickBot="1" x14ac:dyDescent="0.4">
      <c r="A54" s="54">
        <v>15</v>
      </c>
      <c r="B54" s="59" t="s">
        <v>197</v>
      </c>
      <c r="C54" s="54" t="s">
        <v>144</v>
      </c>
      <c r="D54" s="54">
        <v>4</v>
      </c>
      <c r="E54" s="54">
        <v>4</v>
      </c>
      <c r="F54" s="54">
        <f t="shared" si="1"/>
        <v>0</v>
      </c>
      <c r="G54" s="55">
        <f>F54/1</f>
        <v>0</v>
      </c>
      <c r="H54" s="60"/>
      <c r="I54" s="57"/>
      <c r="J54" s="57"/>
      <c r="K54" s="62"/>
    </row>
    <row r="55" spans="1:11" ht="21.5" thickBot="1" x14ac:dyDescent="0.4">
      <c r="A55" s="54">
        <v>16</v>
      </c>
      <c r="B55" s="54" t="s">
        <v>198</v>
      </c>
      <c r="C55" s="54" t="s">
        <v>144</v>
      </c>
      <c r="D55" s="54">
        <v>380</v>
      </c>
      <c r="E55" s="54">
        <v>290</v>
      </c>
      <c r="F55" s="54">
        <f>D55-E55</f>
        <v>90</v>
      </c>
      <c r="G55" s="55"/>
      <c r="H55" s="68"/>
      <c r="I55" s="69">
        <v>46300</v>
      </c>
      <c r="J55" s="69">
        <v>46315</v>
      </c>
      <c r="K55" s="70"/>
    </row>
    <row r="56" spans="1:11" ht="63.5" thickBot="1" x14ac:dyDescent="0.4">
      <c r="A56" s="54">
        <v>17</v>
      </c>
      <c r="B56" s="59" t="s">
        <v>199</v>
      </c>
      <c r="C56" s="54" t="s">
        <v>126</v>
      </c>
      <c r="D56" s="54">
        <v>11</v>
      </c>
      <c r="E56" s="54"/>
      <c r="F56" s="54">
        <f>D56-E56</f>
        <v>11</v>
      </c>
      <c r="G56" s="55"/>
      <c r="H56" s="68"/>
      <c r="I56" s="69">
        <v>46289</v>
      </c>
      <c r="J56" s="69">
        <v>46305</v>
      </c>
      <c r="K56" s="70"/>
    </row>
    <row r="57" spans="1:11" ht="42.5" thickBot="1" x14ac:dyDescent="0.4">
      <c r="A57" s="54">
        <v>18</v>
      </c>
      <c r="B57" s="59" t="s">
        <v>200</v>
      </c>
      <c r="C57" s="54" t="s">
        <v>126</v>
      </c>
      <c r="D57" s="54">
        <v>180</v>
      </c>
      <c r="E57" s="54">
        <v>140</v>
      </c>
      <c r="F57" s="54">
        <f>D57-E57</f>
        <v>40</v>
      </c>
      <c r="G57" s="55"/>
      <c r="H57" s="68"/>
      <c r="I57" s="69">
        <v>46285</v>
      </c>
      <c r="J57" s="69">
        <v>46290</v>
      </c>
      <c r="K57" s="70"/>
    </row>
    <row r="58" spans="1:11" ht="42.5" thickBot="1" x14ac:dyDescent="0.4">
      <c r="A58" s="54">
        <v>19</v>
      </c>
      <c r="B58" s="59" t="s">
        <v>201</v>
      </c>
      <c r="C58" s="54" t="s">
        <v>114</v>
      </c>
      <c r="D58" s="54">
        <v>170</v>
      </c>
      <c r="E58" s="54"/>
      <c r="F58" s="54">
        <f>D58-E58</f>
        <v>170</v>
      </c>
      <c r="G58" s="55"/>
      <c r="H58" s="68"/>
      <c r="I58" s="69">
        <v>46315</v>
      </c>
      <c r="J58" s="69" t="s">
        <v>194</v>
      </c>
      <c r="K58" s="70"/>
    </row>
    <row r="59" spans="1:11" ht="21.5" thickBot="1" x14ac:dyDescent="0.4">
      <c r="A59" s="283" t="s">
        <v>202</v>
      </c>
      <c r="B59" s="283"/>
      <c r="C59" s="283"/>
      <c r="D59" s="283"/>
      <c r="E59" s="283"/>
      <c r="F59" s="283"/>
      <c r="G59" s="283"/>
      <c r="H59" s="283"/>
      <c r="I59" s="283"/>
      <c r="J59" s="283"/>
      <c r="K59" s="283"/>
    </row>
    <row r="60" spans="1:11" ht="15" thickBot="1" x14ac:dyDescent="0.4">
      <c r="A60" s="276" t="s">
        <v>100</v>
      </c>
      <c r="B60" s="276" t="s">
        <v>101</v>
      </c>
      <c r="C60" s="284" t="s">
        <v>102</v>
      </c>
      <c r="D60" s="284" t="s">
        <v>103</v>
      </c>
      <c r="E60" s="284" t="s">
        <v>104</v>
      </c>
      <c r="F60" s="276" t="s">
        <v>105</v>
      </c>
      <c r="G60" s="276" t="s">
        <v>106</v>
      </c>
      <c r="H60" s="276" t="s">
        <v>107</v>
      </c>
      <c r="I60" s="284" t="s">
        <v>108</v>
      </c>
      <c r="J60" s="279" t="s">
        <v>109</v>
      </c>
      <c r="K60" s="282" t="s">
        <v>97</v>
      </c>
    </row>
    <row r="61" spans="1:11" ht="15" thickBot="1" x14ac:dyDescent="0.4">
      <c r="A61" s="276"/>
      <c r="B61" s="276"/>
      <c r="C61" s="275"/>
      <c r="D61" s="275"/>
      <c r="E61" s="275"/>
      <c r="F61" s="276"/>
      <c r="G61" s="276"/>
      <c r="H61" s="276"/>
      <c r="I61" s="275"/>
      <c r="J61" s="279"/>
      <c r="K61" s="281"/>
    </row>
    <row r="62" spans="1:11" ht="42.5" thickBot="1" x14ac:dyDescent="0.4">
      <c r="A62" s="54">
        <v>2</v>
      </c>
      <c r="B62" s="59" t="s">
        <v>113</v>
      </c>
      <c r="C62" s="54" t="s">
        <v>114</v>
      </c>
      <c r="D62" s="54">
        <v>750</v>
      </c>
      <c r="E62" s="54">
        <v>700</v>
      </c>
      <c r="F62" s="54">
        <f t="shared" ref="F62:F66" si="2">D62-E62</f>
        <v>50</v>
      </c>
      <c r="G62" s="55"/>
      <c r="H62" s="60"/>
      <c r="I62" s="57" t="s">
        <v>203</v>
      </c>
      <c r="J62" s="57">
        <v>46298</v>
      </c>
      <c r="K62" s="61" t="s">
        <v>204</v>
      </c>
    </row>
    <row r="63" spans="1:11" ht="21.5" thickBot="1" x14ac:dyDescent="0.4">
      <c r="A63" s="54">
        <v>3</v>
      </c>
      <c r="B63" s="59" t="s">
        <v>147</v>
      </c>
      <c r="C63" s="54" t="s">
        <v>114</v>
      </c>
      <c r="D63" s="54">
        <v>90</v>
      </c>
      <c r="E63" s="54">
        <v>90</v>
      </c>
      <c r="F63" s="54">
        <f t="shared" si="2"/>
        <v>0</v>
      </c>
      <c r="G63" s="55"/>
      <c r="H63" s="60"/>
      <c r="I63" s="57"/>
      <c r="J63" s="60"/>
      <c r="K63" s="61" t="s">
        <v>205</v>
      </c>
    </row>
    <row r="64" spans="1:11" ht="42.5" thickBot="1" x14ac:dyDescent="0.4">
      <c r="A64" s="54">
        <v>5</v>
      </c>
      <c r="B64" s="59" t="s">
        <v>206</v>
      </c>
      <c r="C64" s="54" t="s">
        <v>114</v>
      </c>
      <c r="D64" s="54">
        <v>113</v>
      </c>
      <c r="E64" s="54">
        <v>113</v>
      </c>
      <c r="F64" s="54">
        <f t="shared" si="2"/>
        <v>0</v>
      </c>
      <c r="G64" s="55"/>
      <c r="H64" s="60"/>
      <c r="I64" s="57"/>
      <c r="J64" s="57"/>
      <c r="K64" s="61" t="s">
        <v>205</v>
      </c>
    </row>
    <row r="65" spans="1:11" ht="21.5" thickBot="1" x14ac:dyDescent="0.4">
      <c r="A65" s="63">
        <v>6</v>
      </c>
      <c r="B65" s="64" t="s">
        <v>207</v>
      </c>
      <c r="C65" s="63" t="s">
        <v>144</v>
      </c>
      <c r="D65" s="63">
        <v>45</v>
      </c>
      <c r="E65" s="63"/>
      <c r="F65" s="63"/>
      <c r="G65" s="65"/>
      <c r="H65" s="66"/>
      <c r="I65" s="67"/>
      <c r="J65" s="67"/>
      <c r="K65" s="64"/>
    </row>
    <row r="66" spans="1:11" ht="21.5" thickBot="1" x14ac:dyDescent="0.4">
      <c r="A66" s="54">
        <v>6</v>
      </c>
      <c r="B66" s="59" t="s">
        <v>208</v>
      </c>
      <c r="C66" s="54" t="s">
        <v>114</v>
      </c>
      <c r="D66" s="54">
        <v>135</v>
      </c>
      <c r="E66" s="54">
        <v>70</v>
      </c>
      <c r="F66" s="54">
        <f t="shared" si="2"/>
        <v>65</v>
      </c>
      <c r="G66" s="55"/>
      <c r="H66" s="60"/>
      <c r="I66" s="57"/>
      <c r="J66" s="57"/>
      <c r="K66" s="71"/>
    </row>
    <row r="67" spans="1:11" ht="21.5" thickBot="1" x14ac:dyDescent="0.4">
      <c r="A67" s="54">
        <v>7</v>
      </c>
      <c r="B67" s="59" t="s">
        <v>193</v>
      </c>
      <c r="C67" s="54" t="s">
        <v>114</v>
      </c>
      <c r="D67" s="54">
        <v>750</v>
      </c>
      <c r="E67" s="54"/>
      <c r="F67" s="54"/>
      <c r="G67" s="55"/>
      <c r="H67" s="60"/>
      <c r="I67" s="57">
        <v>46315</v>
      </c>
      <c r="J67" s="57" t="s">
        <v>194</v>
      </c>
      <c r="K67" s="61"/>
    </row>
    <row r="68" spans="1:11" ht="21.5" thickBot="1" x14ac:dyDescent="0.4">
      <c r="A68" s="283" t="s">
        <v>209</v>
      </c>
      <c r="B68" s="283"/>
      <c r="C68" s="283"/>
      <c r="D68" s="283"/>
      <c r="E68" s="283"/>
      <c r="F68" s="283"/>
      <c r="G68" s="283"/>
      <c r="H68" s="283"/>
      <c r="I68" s="283"/>
      <c r="J68" s="283"/>
      <c r="K68" s="283"/>
    </row>
    <row r="69" spans="1:11" ht="15" thickBot="1" x14ac:dyDescent="0.4">
      <c r="A69" s="275" t="s">
        <v>100</v>
      </c>
      <c r="B69" s="275" t="s">
        <v>101</v>
      </c>
      <c r="C69" s="277" t="s">
        <v>102</v>
      </c>
      <c r="D69" s="277" t="s">
        <v>103</v>
      </c>
      <c r="E69" s="277" t="s">
        <v>104</v>
      </c>
      <c r="F69" s="275" t="s">
        <v>105</v>
      </c>
      <c r="G69" s="275" t="s">
        <v>106</v>
      </c>
      <c r="H69" s="275" t="s">
        <v>107</v>
      </c>
      <c r="I69" s="277" t="s">
        <v>108</v>
      </c>
      <c r="J69" s="278" t="s">
        <v>109</v>
      </c>
      <c r="K69" s="280" t="s">
        <v>97</v>
      </c>
    </row>
    <row r="70" spans="1:11" ht="15" thickBot="1" x14ac:dyDescent="0.4">
      <c r="A70" s="276"/>
      <c r="B70" s="276"/>
      <c r="C70" s="275"/>
      <c r="D70" s="275"/>
      <c r="E70" s="275"/>
      <c r="F70" s="276"/>
      <c r="G70" s="276"/>
      <c r="H70" s="276"/>
      <c r="I70" s="275"/>
      <c r="J70" s="279"/>
      <c r="K70" s="281"/>
    </row>
    <row r="71" spans="1:11" ht="42.5" thickBot="1" x14ac:dyDescent="0.4">
      <c r="A71" s="54">
        <v>2</v>
      </c>
      <c r="B71" s="59" t="s">
        <v>113</v>
      </c>
      <c r="C71" s="54" t="s">
        <v>114</v>
      </c>
      <c r="D71" s="54">
        <v>750</v>
      </c>
      <c r="E71" s="54">
        <v>700</v>
      </c>
      <c r="F71" s="54">
        <f t="shared" ref="F71:F73" si="3">D71-E71</f>
        <v>50</v>
      </c>
      <c r="G71" s="55"/>
      <c r="H71" s="60"/>
      <c r="I71" s="57" t="s">
        <v>203</v>
      </c>
      <c r="J71" s="57">
        <v>46295</v>
      </c>
      <c r="K71" s="61" t="s">
        <v>204</v>
      </c>
    </row>
    <row r="72" spans="1:11" ht="21.5" thickBot="1" x14ac:dyDescent="0.4">
      <c r="A72" s="54">
        <v>3</v>
      </c>
      <c r="B72" s="59" t="s">
        <v>147</v>
      </c>
      <c r="C72" s="54" t="s">
        <v>114</v>
      </c>
      <c r="D72" s="54">
        <v>90</v>
      </c>
      <c r="E72" s="54">
        <v>35</v>
      </c>
      <c r="F72" s="54">
        <f t="shared" si="3"/>
        <v>55</v>
      </c>
      <c r="G72" s="55"/>
      <c r="H72" s="60"/>
      <c r="I72" s="57" t="s">
        <v>203</v>
      </c>
      <c r="J72" s="72">
        <v>46295</v>
      </c>
      <c r="K72" s="61"/>
    </row>
    <row r="73" spans="1:11" ht="42.5" thickBot="1" x14ac:dyDescent="0.4">
      <c r="A73" s="54">
        <v>5</v>
      </c>
      <c r="B73" s="59" t="s">
        <v>206</v>
      </c>
      <c r="C73" s="54" t="s">
        <v>114</v>
      </c>
      <c r="D73" s="54">
        <v>113</v>
      </c>
      <c r="E73" s="54">
        <v>60</v>
      </c>
      <c r="F73" s="54">
        <f t="shared" si="3"/>
        <v>53</v>
      </c>
      <c r="G73" s="55"/>
      <c r="H73" s="60"/>
      <c r="I73" s="57" t="s">
        <v>203</v>
      </c>
      <c r="J73" s="57">
        <v>46295</v>
      </c>
      <c r="K73" s="61"/>
    </row>
    <row r="74" spans="1:11" ht="21.5" thickBot="1" x14ac:dyDescent="0.4">
      <c r="A74" s="63">
        <v>6</v>
      </c>
      <c r="B74" s="64" t="s">
        <v>207</v>
      </c>
      <c r="C74" s="63" t="s">
        <v>144</v>
      </c>
      <c r="D74" s="63">
        <v>45</v>
      </c>
      <c r="E74" s="63"/>
      <c r="F74" s="63"/>
      <c r="G74" s="65"/>
      <c r="H74" s="66"/>
      <c r="I74" s="67"/>
      <c r="J74" s="67"/>
      <c r="K74" s="64"/>
    </row>
    <row r="75" spans="1:11" ht="21.5" thickBot="1" x14ac:dyDescent="0.4">
      <c r="A75" s="54">
        <v>6</v>
      </c>
      <c r="B75" s="59" t="s">
        <v>208</v>
      </c>
      <c r="C75" s="54" t="s">
        <v>114</v>
      </c>
      <c r="D75" s="54">
        <v>135</v>
      </c>
      <c r="E75" s="54">
        <v>0</v>
      </c>
      <c r="F75" s="54">
        <f t="shared" ref="F75" si="4">D75-E75</f>
        <v>135</v>
      </c>
      <c r="G75" s="55"/>
      <c r="H75" s="60"/>
      <c r="I75" s="57">
        <v>46288</v>
      </c>
      <c r="J75" s="57">
        <v>46295</v>
      </c>
      <c r="K75" s="71"/>
    </row>
    <row r="76" spans="1:11" ht="21.5" thickBot="1" x14ac:dyDescent="0.4">
      <c r="A76" s="54">
        <v>7</v>
      </c>
      <c r="B76" s="59" t="s">
        <v>193</v>
      </c>
      <c r="C76" s="54" t="s">
        <v>114</v>
      </c>
      <c r="D76" s="54">
        <v>750</v>
      </c>
      <c r="E76" s="54"/>
      <c r="F76" s="54"/>
      <c r="G76" s="55"/>
      <c r="H76" s="60"/>
      <c r="I76" s="57">
        <v>46315</v>
      </c>
      <c r="J76" s="57">
        <v>46325</v>
      </c>
      <c r="K76" s="61"/>
    </row>
  </sheetData>
  <mergeCells count="37">
    <mergeCell ref="A1:K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K60:K61"/>
    <mergeCell ref="A68:K68"/>
    <mergeCell ref="J2:J3"/>
    <mergeCell ref="K2:K3"/>
    <mergeCell ref="A38:K38"/>
    <mergeCell ref="A59:K59"/>
    <mergeCell ref="A60:A61"/>
    <mergeCell ref="B60:B61"/>
    <mergeCell ref="C60:C61"/>
    <mergeCell ref="D60:D61"/>
    <mergeCell ref="E60:E61"/>
    <mergeCell ref="F60:F61"/>
    <mergeCell ref="G60:G61"/>
    <mergeCell ref="H60:H61"/>
    <mergeCell ref="I60:I61"/>
    <mergeCell ref="J60:J61"/>
    <mergeCell ref="G69:G70"/>
    <mergeCell ref="H69:H70"/>
    <mergeCell ref="I69:I70"/>
    <mergeCell ref="J69:J70"/>
    <mergeCell ref="K69:K70"/>
    <mergeCell ref="F69:F70"/>
    <mergeCell ref="A69:A70"/>
    <mergeCell ref="B69:B70"/>
    <mergeCell ref="C69:C70"/>
    <mergeCell ref="D69:D70"/>
    <mergeCell ref="E69:E70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FFC7F-1576-430D-BECF-79BCAC85CDB5}">
  <sheetPr>
    <tabColor theme="7"/>
    <pageSetUpPr fitToPage="1"/>
  </sheetPr>
  <dimension ref="B1:AC115"/>
  <sheetViews>
    <sheetView showGridLines="0" zoomScale="62" zoomScaleNormal="70" zoomScaleSheetLayoutView="80" workbookViewId="0">
      <pane xSplit="6" ySplit="4" topLeftCell="G5" activePane="bottomRight" state="frozen"/>
      <selection pane="topRight" activeCell="I1" sqref="I1"/>
      <selection pane="bottomLeft" activeCell="A5" sqref="A5"/>
      <selection pane="bottomRight" activeCell="B10" sqref="B10"/>
    </sheetView>
  </sheetViews>
  <sheetFormatPr defaultColWidth="2.75" defaultRowHeight="30" customHeight="1" x14ac:dyDescent="0.4"/>
  <cols>
    <col min="1" max="1" width="2.58203125" customWidth="1"/>
    <col min="2" max="2" width="27.33203125" style="2" customWidth="1"/>
    <col min="3" max="3" width="14.83203125" style="1" bestFit="1" customWidth="1"/>
    <col min="4" max="4" width="13.33203125" customWidth="1"/>
    <col min="5" max="5" width="15.58203125" style="3" customWidth="1"/>
    <col min="6" max="6" width="33.08203125" style="3" customWidth="1"/>
    <col min="7" max="7" width="8.58203125" style="1" bestFit="1" customWidth="1"/>
    <col min="8" max="10" width="8.25" style="1" bestFit="1" customWidth="1"/>
    <col min="11" max="11" width="8.58203125" style="1" bestFit="1" customWidth="1"/>
    <col min="12" max="12" width="8.25" style="1" bestFit="1" customWidth="1"/>
    <col min="13" max="13" width="8.58203125" style="1" bestFit="1" customWidth="1"/>
    <col min="14" max="14" width="8.25" style="1" bestFit="1" customWidth="1"/>
    <col min="15" max="15" width="8.58203125" style="1" bestFit="1" customWidth="1"/>
    <col min="16" max="23" width="9.5" style="1" bestFit="1" customWidth="1"/>
  </cols>
  <sheetData>
    <row r="1" spans="2:29" ht="30.75" customHeight="1" x14ac:dyDescent="1.2">
      <c r="B1" s="47" t="s">
        <v>288</v>
      </c>
      <c r="C1" s="48"/>
      <c r="D1" s="49"/>
      <c r="E1" s="48"/>
      <c r="F1" s="48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5"/>
      <c r="U1" s="45"/>
      <c r="V1" s="45"/>
      <c r="W1" s="46"/>
      <c r="X1" s="21"/>
      <c r="Y1" s="14"/>
      <c r="Z1" s="14"/>
      <c r="AA1" s="14"/>
      <c r="AB1" s="14"/>
      <c r="AC1" s="14"/>
    </row>
    <row r="2" spans="2:29" ht="32" x14ac:dyDescent="0.4">
      <c r="B2" s="37"/>
      <c r="C2" s="37"/>
      <c r="D2" s="37"/>
      <c r="E2" s="38" t="s">
        <v>2</v>
      </c>
      <c r="F2" s="38"/>
      <c r="G2" s="39">
        <v>46296</v>
      </c>
      <c r="H2" s="40"/>
      <c r="I2" s="41"/>
      <c r="J2" s="42" t="s">
        <v>5</v>
      </c>
      <c r="K2" s="42"/>
      <c r="L2" s="43"/>
      <c r="M2" s="261" t="s">
        <v>32</v>
      </c>
      <c r="N2" s="261"/>
      <c r="O2" s="261"/>
      <c r="P2" s="21"/>
      <c r="Q2" s="21"/>
      <c r="R2" s="21"/>
      <c r="S2" s="21"/>
      <c r="T2" s="21"/>
      <c r="U2" s="21"/>
      <c r="V2" s="21"/>
      <c r="W2" s="21"/>
      <c r="X2" s="21"/>
      <c r="Y2" s="14"/>
      <c r="Z2" s="14"/>
      <c r="AA2" s="14"/>
      <c r="AB2" s="14"/>
      <c r="AC2" s="14"/>
    </row>
    <row r="3" spans="2:29" s="11" customFormat="1" ht="16" x14ac:dyDescent="0.4">
      <c r="B3" s="247" t="s">
        <v>1</v>
      </c>
      <c r="C3" s="248" t="s">
        <v>3</v>
      </c>
      <c r="D3" s="248" t="s">
        <v>31</v>
      </c>
      <c r="E3" s="248" t="s">
        <v>4</v>
      </c>
      <c r="F3" s="248" t="s">
        <v>97</v>
      </c>
      <c r="G3" s="12" t="s">
        <v>0</v>
      </c>
      <c r="H3" s="13"/>
      <c r="I3" s="24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</row>
    <row r="4" spans="2:29" ht="38.15" customHeight="1" x14ac:dyDescent="0.35">
      <c r="B4" s="247"/>
      <c r="C4" s="248"/>
      <c r="D4" s="248"/>
      <c r="E4" s="248"/>
      <c r="F4" s="248"/>
      <c r="G4" s="22">
        <v>45901</v>
      </c>
      <c r="H4" s="22">
        <f>EDATE(G4,1)</f>
        <v>45931</v>
      </c>
      <c r="I4" s="22">
        <f t="shared" ref="I4:V4" si="0">EDATE(H4,1)</f>
        <v>45962</v>
      </c>
      <c r="J4" s="22">
        <f t="shared" si="0"/>
        <v>45992</v>
      </c>
      <c r="K4" s="22">
        <f t="shared" si="0"/>
        <v>46023</v>
      </c>
      <c r="L4" s="22">
        <f t="shared" si="0"/>
        <v>46054</v>
      </c>
      <c r="M4" s="22">
        <f t="shared" si="0"/>
        <v>46082</v>
      </c>
      <c r="N4" s="22">
        <f t="shared" si="0"/>
        <v>46113</v>
      </c>
      <c r="O4" s="22">
        <f t="shared" si="0"/>
        <v>46143</v>
      </c>
      <c r="P4" s="22">
        <f t="shared" si="0"/>
        <v>46174</v>
      </c>
      <c r="Q4" s="22">
        <f t="shared" si="0"/>
        <v>46204</v>
      </c>
      <c r="R4" s="22">
        <f t="shared" si="0"/>
        <v>46235</v>
      </c>
      <c r="S4" s="22">
        <f t="shared" si="0"/>
        <v>46266</v>
      </c>
      <c r="T4" s="22">
        <f t="shared" si="0"/>
        <v>46296</v>
      </c>
      <c r="U4" s="22">
        <f t="shared" si="0"/>
        <v>46327</v>
      </c>
      <c r="V4" s="22">
        <f t="shared" si="0"/>
        <v>46357</v>
      </c>
      <c r="W4" s="23"/>
    </row>
    <row r="5" spans="2:29" ht="23" x14ac:dyDescent="0.35">
      <c r="B5" s="8" t="s">
        <v>6</v>
      </c>
      <c r="C5" s="7"/>
      <c r="D5" s="19"/>
      <c r="E5" s="15">
        <v>1</v>
      </c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2:29" ht="30" customHeight="1" x14ac:dyDescent="0.35">
      <c r="B6" s="4" t="s">
        <v>7</v>
      </c>
      <c r="C6" s="5"/>
      <c r="D6" s="5"/>
      <c r="E6" s="6"/>
      <c r="F6" s="6"/>
    </row>
    <row r="7" spans="2:29" ht="42" customHeight="1" x14ac:dyDescent="0.35">
      <c r="B7" s="25" t="s">
        <v>8</v>
      </c>
      <c r="C7" s="34">
        <v>45910</v>
      </c>
      <c r="D7" s="34">
        <v>46305</v>
      </c>
      <c r="E7" s="35">
        <v>0.95</v>
      </c>
      <c r="F7" s="35"/>
    </row>
    <row r="8" spans="2:29" ht="30" customHeight="1" x14ac:dyDescent="0.35">
      <c r="B8" s="25" t="s">
        <v>9</v>
      </c>
      <c r="C8" s="34">
        <v>45991</v>
      </c>
      <c r="D8" s="34">
        <f>VLOOKUP(B$8,[2]OPD!$B$1:$D$111,3,FALSE)</f>
        <v>46320</v>
      </c>
      <c r="E8" s="35">
        <f>('UG MALE backup'!E5+'UG MALE backup'!E7)/('UG MALE backup'!D5+'UG MALE backup'!D7)</f>
        <v>0.35488003726997436</v>
      </c>
      <c r="F8" s="35"/>
    </row>
    <row r="9" spans="2:29" ht="30" customHeight="1" x14ac:dyDescent="0.35">
      <c r="B9" s="25" t="s">
        <v>291</v>
      </c>
      <c r="C9" s="34">
        <v>46047</v>
      </c>
      <c r="D9" s="34">
        <v>46341</v>
      </c>
      <c r="E9" s="35">
        <v>0.55000000000000004</v>
      </c>
      <c r="F9" s="35"/>
    </row>
    <row r="10" spans="2:29" ht="18.5" x14ac:dyDescent="0.35">
      <c r="B10" s="25" t="s">
        <v>10</v>
      </c>
      <c r="C10" s="34">
        <v>46102</v>
      </c>
      <c r="D10" s="34">
        <f>VLOOKUP(B10,[2]OPD!$B$1:$D$111,3,FALSE)</f>
        <v>46325</v>
      </c>
      <c r="E10" s="35">
        <v>0.45</v>
      </c>
      <c r="F10" s="35"/>
      <c r="W10"/>
    </row>
    <row r="11" spans="2:29" ht="18.5" x14ac:dyDescent="0.35">
      <c r="B11" s="25" t="s">
        <v>75</v>
      </c>
      <c r="C11" s="34"/>
      <c r="D11" s="34">
        <f>VLOOKUP(B11,[2]OPD!$B$1:$D$111,3,FALSE)</f>
        <v>46346</v>
      </c>
      <c r="E11" s="35">
        <v>0.75</v>
      </c>
      <c r="F11" s="35"/>
      <c r="W11"/>
    </row>
    <row r="12" spans="2:29" ht="18.5" x14ac:dyDescent="0.35">
      <c r="B12" s="25" t="s">
        <v>11</v>
      </c>
      <c r="C12" s="34">
        <f>MIN(C13:C16)</f>
        <v>46211</v>
      </c>
      <c r="D12" s="34">
        <f>MAX(D13:D16)</f>
        <v>46371</v>
      </c>
      <c r="E12" s="35">
        <f>AVERAGE(E13:E16)</f>
        <v>0.05</v>
      </c>
      <c r="F12" s="35"/>
      <c r="X12" s="1"/>
      <c r="Y12" s="1"/>
      <c r="Z12" s="1"/>
      <c r="AA12" s="1"/>
    </row>
    <row r="13" spans="2:29" ht="30" hidden="1" customHeight="1" x14ac:dyDescent="0.35">
      <c r="B13" s="25" t="s">
        <v>76</v>
      </c>
      <c r="C13" s="34">
        <v>46211</v>
      </c>
      <c r="D13" s="34">
        <f>VLOOKUP(B13,[2]OPD!$B$1:$D$111,3,FALSE)</f>
        <v>46310</v>
      </c>
      <c r="E13" s="35">
        <v>0.2</v>
      </c>
      <c r="F13" s="35"/>
      <c r="X13" s="1"/>
      <c r="Y13" s="1"/>
      <c r="Z13" s="1"/>
      <c r="AA13" s="1"/>
    </row>
    <row r="14" spans="2:29" ht="30" hidden="1" customHeight="1" x14ac:dyDescent="0.35">
      <c r="B14" s="25" t="s">
        <v>77</v>
      </c>
      <c r="C14" s="34">
        <f>C13+25</f>
        <v>46236</v>
      </c>
      <c r="D14" s="34">
        <f>VLOOKUP(B14,[2]OPD!$B$1:$D$111,3,FALSE)</f>
        <v>46323</v>
      </c>
      <c r="E14" s="35">
        <v>0</v>
      </c>
      <c r="F14" s="35"/>
      <c r="X14" s="1"/>
      <c r="Y14" s="1"/>
      <c r="Z14" s="1"/>
      <c r="AA14" s="1"/>
    </row>
    <row r="15" spans="2:29" ht="30" hidden="1" customHeight="1" x14ac:dyDescent="0.35">
      <c r="B15" s="25" t="s">
        <v>78</v>
      </c>
      <c r="C15" s="34">
        <f t="shared" ref="C15:C16" si="1">C14+25</f>
        <v>46261</v>
      </c>
      <c r="D15" s="34">
        <f>VLOOKUP(B15,[2]OPD!$B$1:$D$111,3,FALSE)</f>
        <v>46346</v>
      </c>
      <c r="E15" s="35">
        <v>0</v>
      </c>
      <c r="F15" s="35"/>
      <c r="X15" s="1"/>
      <c r="Y15" s="1"/>
      <c r="Z15" s="1"/>
      <c r="AA15" s="1"/>
    </row>
    <row r="16" spans="2:29" ht="30" hidden="1" customHeight="1" x14ac:dyDescent="0.35">
      <c r="B16" s="25" t="s">
        <v>79</v>
      </c>
      <c r="C16" s="34">
        <f t="shared" si="1"/>
        <v>46286</v>
      </c>
      <c r="D16" s="34">
        <f>VLOOKUP(B16,[2]OPD!$B$1:$D$111,3,FALSE)</f>
        <v>46371</v>
      </c>
      <c r="E16" s="35">
        <v>0</v>
      </c>
      <c r="F16" s="35"/>
      <c r="X16" s="1"/>
      <c r="Y16" s="1"/>
      <c r="Z16" s="1"/>
      <c r="AA16" s="1"/>
    </row>
    <row r="17" spans="2:6" ht="30" customHeight="1" x14ac:dyDescent="0.35">
      <c r="B17" s="25" t="s">
        <v>12</v>
      </c>
      <c r="C17" s="34">
        <v>46252</v>
      </c>
      <c r="D17" s="34">
        <f>VLOOKUP(B17,[2]OPD!$B$1:$D$111,3,FALSE)</f>
        <v>46351</v>
      </c>
      <c r="E17" s="35">
        <v>0</v>
      </c>
      <c r="F17" s="35"/>
    </row>
    <row r="18" spans="2:6" ht="30" customHeight="1" x14ac:dyDescent="0.35">
      <c r="B18" s="25" t="s">
        <v>13</v>
      </c>
      <c r="C18" s="34">
        <v>46310</v>
      </c>
      <c r="D18" s="34">
        <f>VLOOKUP(B18,[2]OPD!$B$1:$D$111,3,FALSE)</f>
        <v>46355</v>
      </c>
      <c r="E18" s="35">
        <v>0</v>
      </c>
      <c r="F18" s="35"/>
    </row>
    <row r="19" spans="2:6" ht="35.15" customHeight="1" x14ac:dyDescent="0.35">
      <c r="B19" s="25" t="s">
        <v>80</v>
      </c>
      <c r="C19" s="34">
        <v>46228</v>
      </c>
      <c r="D19" s="34">
        <f>VLOOKUP(B19,[2]OPD!$B$1:$D$111,3,FALSE)</f>
        <v>46325</v>
      </c>
      <c r="E19" s="35">
        <v>0.33</v>
      </c>
      <c r="F19" s="35"/>
    </row>
    <row r="20" spans="2:6" ht="30" customHeight="1" x14ac:dyDescent="0.35">
      <c r="B20" s="25" t="s">
        <v>81</v>
      </c>
      <c r="C20" s="34">
        <v>46290</v>
      </c>
      <c r="D20" s="34">
        <f>VLOOKUP(B20,[2]OPD!$B$1:$D$111,3,FALSE)</f>
        <v>46351</v>
      </c>
      <c r="E20" s="35">
        <v>0</v>
      </c>
      <c r="F20" s="35"/>
    </row>
    <row r="21" spans="2:6" ht="30" customHeight="1" x14ac:dyDescent="0.35">
      <c r="B21" s="16" t="s">
        <v>14</v>
      </c>
      <c r="C21" s="17"/>
      <c r="D21" s="17"/>
      <c r="E21" s="18"/>
      <c r="F21" s="18"/>
    </row>
    <row r="22" spans="2:6" ht="30" customHeight="1" x14ac:dyDescent="0.35">
      <c r="B22" s="25" t="s">
        <v>15</v>
      </c>
      <c r="C22" s="34">
        <v>46225</v>
      </c>
      <c r="D22" s="34">
        <v>46351</v>
      </c>
      <c r="E22" s="35">
        <v>0.35</v>
      </c>
      <c r="F22" s="35"/>
    </row>
    <row r="23" spans="2:6" ht="42.75" customHeight="1" x14ac:dyDescent="0.35">
      <c r="B23" s="25" t="s">
        <v>16</v>
      </c>
      <c r="C23" s="34">
        <v>46128</v>
      </c>
      <c r="D23" s="34">
        <f>VLOOKUP(B23,[2]OPD!$B$1:$D$111,3,FALSE)</f>
        <v>46295</v>
      </c>
      <c r="E23" s="35">
        <f>6/7</f>
        <v>0.8571428571428571</v>
      </c>
      <c r="F23" s="35"/>
    </row>
    <row r="24" spans="2:6" ht="30" customHeight="1" x14ac:dyDescent="0.35">
      <c r="B24" s="25" t="s">
        <v>17</v>
      </c>
      <c r="C24" s="34">
        <v>46239</v>
      </c>
      <c r="D24" s="34">
        <v>46361</v>
      </c>
      <c r="E24" s="35">
        <v>0.75</v>
      </c>
      <c r="F24" s="35"/>
    </row>
    <row r="25" spans="2:6" ht="30" customHeight="1" x14ac:dyDescent="0.35">
      <c r="B25" s="25" t="s">
        <v>18</v>
      </c>
      <c r="C25" s="34">
        <v>46062</v>
      </c>
      <c r="D25" s="34">
        <f>VLOOKUP(B25,[2]OPD!$B$1:$D$111,3,FALSE)</f>
        <v>46300</v>
      </c>
      <c r="E25" s="35">
        <v>0.65</v>
      </c>
      <c r="F25" s="35"/>
    </row>
    <row r="26" spans="2:6" ht="30" customHeight="1" x14ac:dyDescent="0.35">
      <c r="B26" s="25" t="s">
        <v>19</v>
      </c>
      <c r="C26" s="34">
        <v>46295</v>
      </c>
      <c r="D26" s="34">
        <f>VLOOKUP(B26,[2]OPD!$B$1:$D$111,3,FALSE)</f>
        <v>46315</v>
      </c>
      <c r="E26" s="35">
        <v>0</v>
      </c>
      <c r="F26" s="35"/>
    </row>
    <row r="27" spans="2:6" ht="30" customHeight="1" x14ac:dyDescent="0.35">
      <c r="B27" s="25" t="s">
        <v>98</v>
      </c>
      <c r="C27" s="34">
        <f>MIN(C28:C31)</f>
        <v>46101</v>
      </c>
      <c r="D27" s="34">
        <f>MAX(D28:D31)</f>
        <v>46325</v>
      </c>
      <c r="E27" s="35">
        <f>AVERAGE(E28:E31)</f>
        <v>0.59250000000000003</v>
      </c>
      <c r="F27" s="35"/>
    </row>
    <row r="28" spans="2:6" ht="30" hidden="1" customHeight="1" x14ac:dyDescent="0.35">
      <c r="B28" s="25" t="s">
        <v>20</v>
      </c>
      <c r="C28" s="34">
        <v>46101</v>
      </c>
      <c r="D28" s="34">
        <v>46264</v>
      </c>
      <c r="E28" s="35">
        <v>1</v>
      </c>
      <c r="F28" s="35"/>
    </row>
    <row r="29" spans="2:6" ht="30" hidden="1" customHeight="1" x14ac:dyDescent="0.35">
      <c r="B29" s="25" t="s">
        <v>21</v>
      </c>
      <c r="C29" s="34">
        <v>46183</v>
      </c>
      <c r="D29" s="34">
        <v>46305</v>
      </c>
      <c r="E29" s="35">
        <v>0.92</v>
      </c>
      <c r="F29" s="35"/>
    </row>
    <row r="30" spans="2:6" ht="30" hidden="1" customHeight="1" x14ac:dyDescent="0.35">
      <c r="B30" s="25" t="s">
        <v>22</v>
      </c>
      <c r="C30" s="34">
        <v>46167</v>
      </c>
      <c r="D30" s="34">
        <f>VLOOKUP(B30,[2]OPD!$B$1:$D$111,3,FALSE)</f>
        <v>46295</v>
      </c>
      <c r="E30" s="35">
        <v>0.45</v>
      </c>
      <c r="F30" s="35"/>
    </row>
    <row r="31" spans="2:6" ht="30" hidden="1" customHeight="1" x14ac:dyDescent="0.35">
      <c r="B31" s="25" t="s">
        <v>23</v>
      </c>
      <c r="C31" s="34">
        <v>46193</v>
      </c>
      <c r="D31" s="34">
        <f>VLOOKUP(B31,[2]OPD!$B$1:$D$111,3,FALSE)</f>
        <v>46325</v>
      </c>
      <c r="E31" s="35">
        <v>0</v>
      </c>
      <c r="F31" s="35"/>
    </row>
    <row r="32" spans="2:6" ht="30" customHeight="1" x14ac:dyDescent="0.35">
      <c r="B32" s="25" t="s">
        <v>29</v>
      </c>
      <c r="C32" s="34">
        <f>MIN(C33:C36)</f>
        <v>46285</v>
      </c>
      <c r="D32" s="34">
        <f>MAX(D33:D36)</f>
        <v>46341</v>
      </c>
      <c r="E32" s="35">
        <f>AVERAGE(E33:E36)</f>
        <v>0</v>
      </c>
      <c r="F32" s="35"/>
    </row>
    <row r="33" spans="2:6" ht="30" hidden="1" customHeight="1" x14ac:dyDescent="0.35">
      <c r="B33" s="25" t="s">
        <v>20</v>
      </c>
      <c r="C33" s="36">
        <v>46301</v>
      </c>
      <c r="D33" s="36">
        <f>VLOOKUP(B33,[2]OPD!$B$1:$D$111,3,FALSE)</f>
        <v>46310</v>
      </c>
      <c r="E33" s="35">
        <v>0</v>
      </c>
      <c r="F33" s="35"/>
    </row>
    <row r="34" spans="2:6" ht="30" hidden="1" customHeight="1" x14ac:dyDescent="0.35">
      <c r="B34" s="25" t="s">
        <v>21</v>
      </c>
      <c r="C34" s="36">
        <v>46285</v>
      </c>
      <c r="D34" s="36">
        <f>VLOOKUP(B34,[2]OPD!$B$1:$D$111,3,FALSE)</f>
        <v>46305</v>
      </c>
      <c r="E34" s="35">
        <v>0</v>
      </c>
      <c r="F34" s="35"/>
    </row>
    <row r="35" spans="2:6" ht="30" hidden="1" customHeight="1" x14ac:dyDescent="0.35">
      <c r="B35" s="25" t="s">
        <v>22</v>
      </c>
      <c r="C35" s="36">
        <v>46311</v>
      </c>
      <c r="D35" s="36">
        <v>46325</v>
      </c>
      <c r="E35" s="35">
        <v>0</v>
      </c>
      <c r="F35" s="35"/>
    </row>
    <row r="36" spans="2:6" ht="30" hidden="1" customHeight="1" x14ac:dyDescent="0.35">
      <c r="B36" s="25" t="s">
        <v>23</v>
      </c>
      <c r="C36" s="36">
        <v>46327</v>
      </c>
      <c r="D36" s="36">
        <v>46341</v>
      </c>
      <c r="E36" s="35">
        <v>0</v>
      </c>
      <c r="F36" s="35"/>
    </row>
    <row r="37" spans="2:6" ht="30" customHeight="1" x14ac:dyDescent="0.35">
      <c r="B37" s="32" t="s">
        <v>30</v>
      </c>
      <c r="C37" s="51">
        <f>MIN(C38:C41)</f>
        <v>46290</v>
      </c>
      <c r="D37" s="51">
        <f>MAX(D38:D41)</f>
        <v>46361</v>
      </c>
      <c r="E37" s="33">
        <f>AVERAGE(E38:E41)</f>
        <v>0</v>
      </c>
      <c r="F37" s="33"/>
    </row>
    <row r="38" spans="2:6" ht="30" hidden="1" customHeight="1" x14ac:dyDescent="0.35">
      <c r="B38" s="25" t="s">
        <v>20</v>
      </c>
      <c r="C38" s="36">
        <f>C33+5</f>
        <v>46306</v>
      </c>
      <c r="D38" s="36">
        <v>46315</v>
      </c>
      <c r="E38" s="35">
        <v>0</v>
      </c>
      <c r="F38" s="35"/>
    </row>
    <row r="39" spans="2:6" ht="30" hidden="1" customHeight="1" x14ac:dyDescent="0.35">
      <c r="B39" s="25" t="s">
        <v>21</v>
      </c>
      <c r="C39" s="36">
        <f>C34+5</f>
        <v>46290</v>
      </c>
      <c r="D39" s="36">
        <v>46331</v>
      </c>
      <c r="E39" s="35">
        <v>0</v>
      </c>
      <c r="F39" s="35"/>
    </row>
    <row r="40" spans="2:6" ht="30" hidden="1" customHeight="1" x14ac:dyDescent="0.35">
      <c r="B40" s="25" t="s">
        <v>22</v>
      </c>
      <c r="C40" s="36">
        <f>C35+5</f>
        <v>46316</v>
      </c>
      <c r="D40" s="36">
        <v>46348</v>
      </c>
      <c r="E40" s="35">
        <v>0</v>
      </c>
      <c r="F40" s="35"/>
    </row>
    <row r="41" spans="2:6" ht="30" hidden="1" customHeight="1" x14ac:dyDescent="0.35">
      <c r="B41" s="25" t="s">
        <v>23</v>
      </c>
      <c r="C41" s="36">
        <f>C36+5</f>
        <v>46332</v>
      </c>
      <c r="D41" s="36">
        <v>46361</v>
      </c>
      <c r="E41" s="35">
        <v>0</v>
      </c>
      <c r="F41" s="35"/>
    </row>
    <row r="42" spans="2:6" ht="30" customHeight="1" x14ac:dyDescent="0.35">
      <c r="B42" s="26" t="s">
        <v>82</v>
      </c>
      <c r="C42" s="27"/>
      <c r="D42" s="27"/>
      <c r="E42" s="28"/>
      <c r="F42" s="28"/>
    </row>
    <row r="43" spans="2:6" ht="30" customHeight="1" x14ac:dyDescent="0.35">
      <c r="B43" s="16" t="s">
        <v>83</v>
      </c>
      <c r="C43" s="17"/>
      <c r="D43" s="17"/>
      <c r="E43" s="18"/>
      <c r="F43" s="18"/>
    </row>
    <row r="44" spans="2:6" ht="30" customHeight="1" x14ac:dyDescent="0.35">
      <c r="B44" s="29" t="s">
        <v>33</v>
      </c>
      <c r="C44" s="30"/>
      <c r="D44" s="30"/>
      <c r="E44" s="31"/>
      <c r="F44" s="31"/>
    </row>
    <row r="45" spans="2:6" ht="30" customHeight="1" x14ac:dyDescent="0.35">
      <c r="B45" s="25" t="s">
        <v>34</v>
      </c>
      <c r="C45" s="50">
        <v>45940</v>
      </c>
      <c r="D45" s="50">
        <f>VLOOKUP(B45,[2]OPD!$B$39:$D$52,3,FALSE)</f>
        <v>46305</v>
      </c>
      <c r="E45" s="35">
        <v>0.9</v>
      </c>
      <c r="F45" s="35"/>
    </row>
    <row r="46" spans="2:6" ht="30" customHeight="1" x14ac:dyDescent="0.35">
      <c r="B46" s="29" t="s">
        <v>35</v>
      </c>
      <c r="C46" s="30"/>
      <c r="D46" s="30"/>
      <c r="E46" s="31"/>
      <c r="F46" s="31"/>
    </row>
    <row r="47" spans="2:6" ht="30" customHeight="1" x14ac:dyDescent="0.35">
      <c r="B47" s="25" t="s">
        <v>36</v>
      </c>
      <c r="C47" s="50">
        <v>45928</v>
      </c>
      <c r="D47" s="50">
        <f>VLOOKUP(B47,[2]OPD!$B$39:$D$52,3,FALSE)</f>
        <v>46293</v>
      </c>
      <c r="E47" s="35">
        <v>0.95</v>
      </c>
      <c r="F47" s="35"/>
    </row>
    <row r="48" spans="2:6" ht="30" customHeight="1" x14ac:dyDescent="0.35">
      <c r="B48" s="25" t="s">
        <v>37</v>
      </c>
      <c r="C48" s="50">
        <v>45922</v>
      </c>
      <c r="D48" s="50">
        <f>VLOOKUP(B48,[2]OPD!$B$39:$D$52,3,FALSE)</f>
        <v>46315</v>
      </c>
      <c r="E48" s="35">
        <v>0.3</v>
      </c>
      <c r="F48" s="35"/>
    </row>
    <row r="49" spans="2:6" ht="30" customHeight="1" x14ac:dyDescent="0.35">
      <c r="B49" s="29" t="s">
        <v>38</v>
      </c>
      <c r="C49" s="30"/>
      <c r="D49" s="30"/>
      <c r="E49" s="31"/>
      <c r="F49" s="31"/>
    </row>
    <row r="50" spans="2:6" ht="30" customHeight="1" x14ac:dyDescent="0.35">
      <c r="B50" s="25" t="s">
        <v>39</v>
      </c>
      <c r="C50" s="50">
        <v>46002</v>
      </c>
      <c r="D50" s="50">
        <f>VLOOKUP(B50,[2]OPD!$B$39:$D$52,3,FALSE)</f>
        <v>46285</v>
      </c>
      <c r="E50" s="35">
        <v>0.97</v>
      </c>
      <c r="F50" s="35"/>
    </row>
    <row r="51" spans="2:6" ht="30" customHeight="1" x14ac:dyDescent="0.35">
      <c r="B51" s="29" t="s">
        <v>41</v>
      </c>
      <c r="C51" s="30"/>
      <c r="D51" s="30"/>
      <c r="E51" s="31"/>
      <c r="F51" s="31"/>
    </row>
    <row r="52" spans="2:6" ht="30" customHeight="1" x14ac:dyDescent="0.35">
      <c r="B52" s="25" t="s">
        <v>40</v>
      </c>
      <c r="C52" s="50">
        <v>46032</v>
      </c>
      <c r="D52" s="50">
        <f>VLOOKUP(B52,[2]OPD!$B$39:$D$52,3,FALSE)</f>
        <v>46285</v>
      </c>
      <c r="E52" s="35">
        <v>0.9</v>
      </c>
      <c r="F52" s="35"/>
    </row>
    <row r="53" spans="2:6" ht="30" customHeight="1" x14ac:dyDescent="0.35">
      <c r="B53" s="29" t="s">
        <v>43</v>
      </c>
      <c r="C53" s="30"/>
      <c r="D53" s="30"/>
      <c r="E53" s="31"/>
      <c r="F53" s="31"/>
    </row>
    <row r="54" spans="2:6" ht="30" customHeight="1" x14ac:dyDescent="0.35">
      <c r="B54" s="25" t="s">
        <v>44</v>
      </c>
      <c r="C54" s="50">
        <v>46275</v>
      </c>
      <c r="D54" s="50">
        <f>VLOOKUP(B54,[2]OPD!$B$39:$D$52,3,FALSE)</f>
        <v>46325</v>
      </c>
      <c r="E54" s="35">
        <v>0.3</v>
      </c>
      <c r="F54" s="35"/>
    </row>
    <row r="55" spans="2:6" ht="30" customHeight="1" x14ac:dyDescent="0.35">
      <c r="B55" s="29" t="s">
        <v>45</v>
      </c>
      <c r="C55" s="30"/>
      <c r="D55" s="30"/>
      <c r="E55" s="31"/>
      <c r="F55" s="31"/>
    </row>
    <row r="56" spans="2:6" ht="30" customHeight="1" x14ac:dyDescent="0.35">
      <c r="B56" s="25" t="s">
        <v>84</v>
      </c>
      <c r="C56" s="50">
        <v>46275</v>
      </c>
      <c r="D56" s="50">
        <f>VLOOKUP(B56,[2]OPD!$B$39:$D$52,3,FALSE)</f>
        <v>46325</v>
      </c>
      <c r="E56" s="35">
        <v>0.2</v>
      </c>
      <c r="F56" s="35"/>
    </row>
    <row r="57" spans="2:6" ht="30" customHeight="1" x14ac:dyDescent="0.35">
      <c r="B57" s="29" t="s">
        <v>85</v>
      </c>
      <c r="C57" s="30"/>
      <c r="D57" s="30"/>
      <c r="E57" s="31"/>
      <c r="F57" s="31"/>
    </row>
    <row r="58" spans="2:6" ht="30" customHeight="1" x14ac:dyDescent="0.35">
      <c r="B58" s="29" t="s">
        <v>33</v>
      </c>
      <c r="C58" s="30"/>
      <c r="D58" s="30"/>
      <c r="E58" s="31"/>
      <c r="F58" s="31"/>
    </row>
    <row r="59" spans="2:6" ht="30" customHeight="1" x14ac:dyDescent="0.35">
      <c r="B59" s="25" t="s">
        <v>46</v>
      </c>
      <c r="C59" s="50">
        <v>46252</v>
      </c>
      <c r="D59" s="50">
        <f>VLOOKUP(B59,[2]OPD!$B$54:$D$76,3,FALSE)</f>
        <v>46325</v>
      </c>
      <c r="E59" s="35">
        <v>0.45</v>
      </c>
      <c r="F59" s="35"/>
    </row>
    <row r="60" spans="2:6" ht="30" customHeight="1" x14ac:dyDescent="0.35">
      <c r="B60" s="25" t="s">
        <v>47</v>
      </c>
      <c r="C60" s="50">
        <v>46213</v>
      </c>
      <c r="D60" s="50">
        <f>VLOOKUP(B60,[2]OPD!$B$54:$D$76,3,FALSE)</f>
        <v>46325</v>
      </c>
      <c r="E60" s="35">
        <v>0.55000000000000004</v>
      </c>
      <c r="F60" s="35"/>
    </row>
    <row r="61" spans="2:6" ht="30" customHeight="1" x14ac:dyDescent="0.35">
      <c r="B61" s="25" t="s">
        <v>48</v>
      </c>
      <c r="C61" s="50">
        <v>46293</v>
      </c>
      <c r="D61" s="50">
        <f>VLOOKUP(B61,[2]OPD!$B$54:$D$76,3,FALSE)</f>
        <v>46305</v>
      </c>
      <c r="E61" s="35">
        <v>0</v>
      </c>
      <c r="F61" s="35"/>
    </row>
    <row r="62" spans="2:6" ht="30" customHeight="1" x14ac:dyDescent="0.35">
      <c r="B62" s="25" t="s">
        <v>49</v>
      </c>
      <c r="C62" s="50">
        <v>46275</v>
      </c>
      <c r="D62" s="50">
        <f>VLOOKUP(B62,[2]OPD!$B$54:$D$76,3,FALSE)</f>
        <v>46336</v>
      </c>
      <c r="E62" s="35">
        <v>0.2</v>
      </c>
      <c r="F62" s="35"/>
    </row>
    <row r="63" spans="2:6" ht="30" customHeight="1" x14ac:dyDescent="0.35">
      <c r="B63" s="29" t="s">
        <v>35</v>
      </c>
      <c r="C63" s="30"/>
      <c r="D63" s="30"/>
      <c r="E63" s="31"/>
      <c r="F63" s="31"/>
    </row>
    <row r="64" spans="2:6" ht="30" customHeight="1" x14ac:dyDescent="0.35">
      <c r="B64" s="25" t="s">
        <v>50</v>
      </c>
      <c r="C64" s="50">
        <v>46259</v>
      </c>
      <c r="D64" s="50">
        <v>46305</v>
      </c>
      <c r="E64" s="35">
        <v>0.55000000000000004</v>
      </c>
      <c r="F64" s="35"/>
    </row>
    <row r="65" spans="2:6" ht="30" customHeight="1" x14ac:dyDescent="0.35">
      <c r="B65" s="29" t="s">
        <v>38</v>
      </c>
      <c r="C65" s="30"/>
      <c r="D65" s="30"/>
      <c r="E65" s="31"/>
      <c r="F65" s="31"/>
    </row>
    <row r="66" spans="2:6" ht="30" customHeight="1" x14ac:dyDescent="0.35">
      <c r="B66" s="25" t="s">
        <v>51</v>
      </c>
      <c r="C66" s="50">
        <v>46313</v>
      </c>
      <c r="D66" s="50">
        <f>VLOOKUP(B66,[2]OPD!$B$54:$D$76,3,FALSE)</f>
        <v>46366</v>
      </c>
      <c r="E66" s="35">
        <v>0.5</v>
      </c>
      <c r="F66" s="35"/>
    </row>
    <row r="67" spans="2:6" ht="30" customHeight="1" x14ac:dyDescent="0.35">
      <c r="B67" s="25" t="s">
        <v>52</v>
      </c>
      <c r="C67" s="50">
        <v>46244</v>
      </c>
      <c r="D67" s="50">
        <f>VLOOKUP(B67,[2]OPD!$B$54:$D$76,3,FALSE)</f>
        <v>46310</v>
      </c>
      <c r="E67" s="35">
        <v>0.8</v>
      </c>
      <c r="F67" s="35"/>
    </row>
    <row r="68" spans="2:6" ht="30" customHeight="1" x14ac:dyDescent="0.35">
      <c r="B68" s="25" t="s">
        <v>53</v>
      </c>
      <c r="C68" s="50">
        <v>46253</v>
      </c>
      <c r="D68" s="50">
        <f>VLOOKUP(B68,[2]OPD!$B$54:$D$76,3,FALSE)</f>
        <v>46311</v>
      </c>
      <c r="E68" s="35">
        <v>0.7</v>
      </c>
      <c r="F68" s="35"/>
    </row>
    <row r="69" spans="2:6" ht="30" customHeight="1" x14ac:dyDescent="0.35">
      <c r="B69" s="29" t="s">
        <v>41</v>
      </c>
      <c r="C69" s="30"/>
      <c r="D69" s="30"/>
      <c r="E69" s="31"/>
      <c r="F69" s="31"/>
    </row>
    <row r="70" spans="2:6" ht="30" customHeight="1" x14ac:dyDescent="0.35">
      <c r="B70" s="25" t="s">
        <v>54</v>
      </c>
      <c r="C70" s="50">
        <v>46275</v>
      </c>
      <c r="D70" s="50">
        <f>VLOOKUP(B70,[2]OPD!$B$54:$D$76,3,FALSE)</f>
        <v>46340</v>
      </c>
      <c r="E70" s="35">
        <v>0.5</v>
      </c>
      <c r="F70" s="35"/>
    </row>
    <row r="71" spans="2:6" ht="30" customHeight="1" x14ac:dyDescent="0.35">
      <c r="B71" s="25" t="s">
        <v>55</v>
      </c>
      <c r="C71" s="50">
        <v>46244</v>
      </c>
      <c r="D71" s="50">
        <f>VLOOKUP(B71,[2]OPD!$B$54:$D$76,3,FALSE)</f>
        <v>46319</v>
      </c>
      <c r="E71" s="35">
        <v>0.75</v>
      </c>
      <c r="F71" s="35"/>
    </row>
    <row r="72" spans="2:6" ht="30" customHeight="1" x14ac:dyDescent="0.35">
      <c r="B72" s="29" t="s">
        <v>42</v>
      </c>
      <c r="C72" s="30"/>
      <c r="D72" s="30"/>
      <c r="E72" s="31"/>
      <c r="F72" s="31"/>
    </row>
    <row r="73" spans="2:6" ht="30" customHeight="1" x14ac:dyDescent="0.35">
      <c r="B73" s="25" t="s">
        <v>56</v>
      </c>
      <c r="C73" s="50">
        <v>46244</v>
      </c>
      <c r="D73" s="50">
        <f>VLOOKUP(B73,[2]OPD!$B$54:$D$76,3,FALSE)</f>
        <v>46341</v>
      </c>
      <c r="E73" s="35">
        <v>0.45</v>
      </c>
      <c r="F73" s="35"/>
    </row>
    <row r="74" spans="2:6" ht="30" customHeight="1" x14ac:dyDescent="0.35">
      <c r="B74" s="25" t="s">
        <v>57</v>
      </c>
      <c r="C74" s="50">
        <v>46221</v>
      </c>
      <c r="D74" s="50">
        <f>VLOOKUP(B74,[2]OPD!$B$54:$D$76,3,FALSE)</f>
        <v>46341</v>
      </c>
      <c r="E74" s="35">
        <v>0.6</v>
      </c>
      <c r="F74" s="35"/>
    </row>
    <row r="75" spans="2:6" ht="30" customHeight="1" x14ac:dyDescent="0.35">
      <c r="B75" s="25" t="s">
        <v>58</v>
      </c>
      <c r="C75" s="50">
        <v>46294</v>
      </c>
      <c r="D75" s="50">
        <f>VLOOKUP(B75,[2]OPD!$B$54:$D$76,3,FALSE)</f>
        <v>46295</v>
      </c>
      <c r="E75" s="35">
        <v>0</v>
      </c>
      <c r="F75" s="35"/>
    </row>
    <row r="76" spans="2:6" ht="30" customHeight="1" x14ac:dyDescent="0.35">
      <c r="B76" s="25" t="s">
        <v>59</v>
      </c>
      <c r="C76" s="50">
        <v>46294</v>
      </c>
      <c r="D76" s="50">
        <f>VLOOKUP(B76,[2]OPD!$B$54:$D$76,3,FALSE)</f>
        <v>46346</v>
      </c>
      <c r="E76" s="35">
        <v>0.3</v>
      </c>
      <c r="F76" s="35"/>
    </row>
    <row r="77" spans="2:6" ht="30" customHeight="1" x14ac:dyDescent="0.35">
      <c r="B77" s="29" t="s">
        <v>43</v>
      </c>
      <c r="C77" s="30"/>
      <c r="D77" s="30"/>
      <c r="E77" s="31"/>
      <c r="F77" s="31"/>
    </row>
    <row r="78" spans="2:6" ht="30" customHeight="1" x14ac:dyDescent="0.35">
      <c r="B78" s="25" t="s">
        <v>60</v>
      </c>
      <c r="C78" s="50">
        <v>46344</v>
      </c>
      <c r="D78" s="50">
        <f>VLOOKUP(B78,[2]OPD!$B$54:$D$76,3,FALSE)</f>
        <v>46371</v>
      </c>
      <c r="E78" s="35">
        <v>0</v>
      </c>
      <c r="F78" s="35"/>
    </row>
    <row r="79" spans="2:6" ht="30" customHeight="1" x14ac:dyDescent="0.35">
      <c r="B79" s="29" t="s">
        <v>45</v>
      </c>
      <c r="C79" s="30"/>
      <c r="D79" s="30"/>
      <c r="E79" s="31"/>
      <c r="F79" s="31"/>
    </row>
    <row r="80" spans="2:6" ht="30" customHeight="1" x14ac:dyDescent="0.35">
      <c r="B80" s="25" t="s">
        <v>61</v>
      </c>
      <c r="C80" s="50">
        <v>46346</v>
      </c>
      <c r="D80" s="50">
        <f>VLOOKUP(B80,[2]OPD!$B$54:$D$76,3,FALSE)</f>
        <v>46386</v>
      </c>
      <c r="E80" s="35">
        <v>0</v>
      </c>
      <c r="F80" s="35"/>
    </row>
    <row r="81" spans="2:6" ht="30" customHeight="1" x14ac:dyDescent="0.35">
      <c r="B81" s="16" t="s">
        <v>86</v>
      </c>
      <c r="C81" s="52"/>
      <c r="D81" s="52"/>
      <c r="E81" s="18"/>
      <c r="F81" s="18"/>
    </row>
    <row r="82" spans="2:6" ht="30" customHeight="1" x14ac:dyDescent="0.35">
      <c r="B82" s="29" t="s">
        <v>33</v>
      </c>
      <c r="C82" s="30"/>
      <c r="D82" s="30"/>
      <c r="E82" s="31"/>
      <c r="F82" s="31"/>
    </row>
    <row r="83" spans="2:6" ht="30" customHeight="1" x14ac:dyDescent="0.35">
      <c r="B83" s="25" t="s">
        <v>87</v>
      </c>
      <c r="C83" s="50">
        <v>46275</v>
      </c>
      <c r="D83" s="50">
        <f>VLOOKUP(B83,[2]OPD!$B$78:$D$99,3,FALSE)</f>
        <v>46376</v>
      </c>
      <c r="E83" s="35">
        <v>0.1</v>
      </c>
      <c r="F83" s="35"/>
    </row>
    <row r="84" spans="2:6" ht="30" customHeight="1" x14ac:dyDescent="0.35">
      <c r="B84" s="25" t="s">
        <v>62</v>
      </c>
      <c r="C84" s="50">
        <v>46307</v>
      </c>
      <c r="D84" s="50">
        <f>VLOOKUP(B84,[2]OPD!$B$78:$D$99,3,FALSE)</f>
        <v>46348</v>
      </c>
      <c r="E84" s="35">
        <v>0</v>
      </c>
      <c r="F84" s="35"/>
    </row>
    <row r="85" spans="2:6" ht="30" customHeight="1" x14ac:dyDescent="0.35">
      <c r="B85" s="25" t="s">
        <v>63</v>
      </c>
      <c r="C85" s="50">
        <v>46303</v>
      </c>
      <c r="D85" s="50">
        <f>VLOOKUP(B85,[2]OPD!$B$78:$D$99,3,FALSE)</f>
        <v>46310</v>
      </c>
      <c r="E85" s="35">
        <v>0</v>
      </c>
      <c r="F85" s="35"/>
    </row>
    <row r="86" spans="2:6" ht="30" customHeight="1" x14ac:dyDescent="0.35">
      <c r="B86" s="25" t="s">
        <v>64</v>
      </c>
      <c r="C86" s="50">
        <v>46310</v>
      </c>
      <c r="D86" s="50">
        <f>VLOOKUP(B86,[2]OPD!$B$78:$D$99,3,FALSE)</f>
        <v>46325</v>
      </c>
      <c r="E86" s="35">
        <v>0</v>
      </c>
      <c r="F86" s="35"/>
    </row>
    <row r="87" spans="2:6" ht="30" customHeight="1" x14ac:dyDescent="0.35">
      <c r="B87" s="29" t="s">
        <v>35</v>
      </c>
      <c r="C87" s="30"/>
      <c r="D87" s="30"/>
      <c r="E87" s="31"/>
      <c r="F87" s="31"/>
    </row>
    <row r="88" spans="2:6" ht="30" customHeight="1" x14ac:dyDescent="0.35">
      <c r="B88" s="25" t="s">
        <v>65</v>
      </c>
      <c r="C88" s="50">
        <v>46324</v>
      </c>
      <c r="D88" s="50">
        <f>VLOOKUP(B88,[2]OPD!$B$78:$D$99,3,FALSE)</f>
        <v>46376</v>
      </c>
      <c r="E88" s="35">
        <v>0</v>
      </c>
      <c r="F88" s="35"/>
    </row>
    <row r="89" spans="2:6" ht="30" customHeight="1" x14ac:dyDescent="0.35">
      <c r="B89" s="29" t="s">
        <v>38</v>
      </c>
      <c r="C89" s="30"/>
      <c r="D89" s="30"/>
      <c r="E89" s="31"/>
      <c r="F89" s="31"/>
    </row>
    <row r="90" spans="2:6" ht="30" customHeight="1" x14ac:dyDescent="0.35">
      <c r="B90" s="25" t="s">
        <v>66</v>
      </c>
      <c r="C90" s="50">
        <v>46314</v>
      </c>
      <c r="D90" s="50">
        <f>VLOOKUP(B90,[2]OPD!$B$78:$D$99,3,FALSE)</f>
        <v>46371</v>
      </c>
      <c r="E90" s="35">
        <v>0</v>
      </c>
      <c r="F90" s="35"/>
    </row>
    <row r="91" spans="2:6" ht="30" customHeight="1" x14ac:dyDescent="0.35">
      <c r="B91" s="25" t="s">
        <v>67</v>
      </c>
      <c r="C91" s="50">
        <v>46320</v>
      </c>
      <c r="D91" s="50">
        <f>VLOOKUP(B91,[2]OPD!$B$78:$D$99,3,FALSE)</f>
        <v>46381</v>
      </c>
      <c r="E91" s="35">
        <v>0</v>
      </c>
      <c r="F91" s="35"/>
    </row>
    <row r="92" spans="2:6" ht="30" customHeight="1" x14ac:dyDescent="0.35">
      <c r="B92" s="29" t="s">
        <v>41</v>
      </c>
      <c r="C92" s="30"/>
      <c r="D92" s="30"/>
      <c r="E92" s="31"/>
      <c r="F92" s="31"/>
    </row>
    <row r="93" spans="2:6" ht="30" customHeight="1" x14ac:dyDescent="0.35">
      <c r="B93" s="25" t="s">
        <v>68</v>
      </c>
      <c r="C93" s="50">
        <v>46277</v>
      </c>
      <c r="D93" s="50">
        <f>VLOOKUP(B93,[2]OPD!$B$78:$D$99,3,FALSE)</f>
        <v>46351</v>
      </c>
      <c r="E93" s="35">
        <v>0.2</v>
      </c>
      <c r="F93" s="35"/>
    </row>
    <row r="94" spans="2:6" ht="30" customHeight="1" x14ac:dyDescent="0.35">
      <c r="B94" s="29" t="s">
        <v>42</v>
      </c>
      <c r="C94" s="30"/>
      <c r="D94" s="30"/>
      <c r="E94" s="31"/>
      <c r="F94" s="31"/>
    </row>
    <row r="95" spans="2:6" ht="30" customHeight="1" x14ac:dyDescent="0.35">
      <c r="B95" s="25" t="s">
        <v>88</v>
      </c>
      <c r="C95" s="50">
        <v>46312</v>
      </c>
      <c r="D95" s="50">
        <f>VLOOKUP(B95,[2]OPD!$B$78:$D$99,3,FALSE)</f>
        <v>46381</v>
      </c>
      <c r="E95" s="35">
        <v>0</v>
      </c>
      <c r="F95" s="35"/>
    </row>
    <row r="96" spans="2:6" ht="30" customHeight="1" x14ac:dyDescent="0.35">
      <c r="B96" s="25" t="s">
        <v>89</v>
      </c>
      <c r="C96" s="50"/>
      <c r="D96" s="50">
        <f>VLOOKUP(B96,[2]OPD!$B$78:$D$99,3,FALSE)</f>
        <v>46381</v>
      </c>
      <c r="E96" s="35">
        <v>0</v>
      </c>
      <c r="F96" s="35"/>
    </row>
    <row r="97" spans="2:6" ht="30" customHeight="1" x14ac:dyDescent="0.35">
      <c r="B97" s="25" t="s">
        <v>69</v>
      </c>
      <c r="C97" s="50"/>
      <c r="D97" s="50">
        <f>VLOOKUP(B97,[2]OPD!$B$78:$D$99,3,FALSE)</f>
        <v>46381</v>
      </c>
      <c r="E97" s="35">
        <v>0</v>
      </c>
      <c r="F97" s="35"/>
    </row>
    <row r="98" spans="2:6" ht="30" customHeight="1" x14ac:dyDescent="0.35">
      <c r="B98" s="25" t="s">
        <v>70</v>
      </c>
      <c r="C98" s="50"/>
      <c r="D98" s="50">
        <f>VLOOKUP(B98,[2]OPD!$B$78:$D$99,3,FALSE)</f>
        <v>46381</v>
      </c>
      <c r="E98" s="35">
        <v>0</v>
      </c>
      <c r="F98" s="35"/>
    </row>
    <row r="99" spans="2:6" ht="30" customHeight="1" x14ac:dyDescent="0.35">
      <c r="B99" s="25" t="s">
        <v>71</v>
      </c>
      <c r="C99" s="50"/>
      <c r="D99" s="50">
        <f>VLOOKUP(B99,[2]OPD!$B$78:$D$99,3,FALSE)</f>
        <v>46381</v>
      </c>
      <c r="E99" s="35">
        <v>0</v>
      </c>
      <c r="F99" s="35"/>
    </row>
    <row r="100" spans="2:6" ht="30" customHeight="1" x14ac:dyDescent="0.35">
      <c r="B100" s="29" t="s">
        <v>43</v>
      </c>
      <c r="C100" s="30"/>
      <c r="D100" s="30"/>
      <c r="E100" s="31"/>
      <c r="F100" s="31"/>
    </row>
    <row r="101" spans="2:6" ht="30" customHeight="1" x14ac:dyDescent="0.35">
      <c r="B101" s="25" t="s">
        <v>72</v>
      </c>
      <c r="C101" s="50"/>
      <c r="D101" s="50">
        <f>VLOOKUP(B101,[2]OPD!$B$78:$D$99,3,FALSE)</f>
        <v>46386</v>
      </c>
      <c r="E101" s="35">
        <v>0</v>
      </c>
      <c r="F101" s="35"/>
    </row>
    <row r="102" spans="2:6" ht="30" customHeight="1" x14ac:dyDescent="0.35">
      <c r="B102" s="29" t="s">
        <v>45</v>
      </c>
      <c r="C102" s="30"/>
      <c r="D102" s="30"/>
      <c r="E102" s="31"/>
      <c r="F102" s="31"/>
    </row>
    <row r="103" spans="2:6" ht="30" customHeight="1" x14ac:dyDescent="0.35">
      <c r="B103" s="25" t="s">
        <v>73</v>
      </c>
      <c r="C103" s="50"/>
      <c r="D103" s="50">
        <f>VLOOKUP(B103,[2]OPD!$B$78:$D$99,3,FALSE)</f>
        <v>46386</v>
      </c>
      <c r="E103" s="35">
        <v>0</v>
      </c>
      <c r="F103" s="35"/>
    </row>
    <row r="104" spans="2:6" ht="30" customHeight="1" x14ac:dyDescent="0.35">
      <c r="B104" s="29" t="s">
        <v>90</v>
      </c>
      <c r="C104" s="30"/>
      <c r="D104" s="30"/>
      <c r="E104" s="31"/>
      <c r="F104" s="31"/>
    </row>
    <row r="105" spans="2:6" ht="30" customHeight="1" x14ac:dyDescent="0.35">
      <c r="B105" s="25" t="s">
        <v>91</v>
      </c>
      <c r="C105" s="50"/>
      <c r="D105" s="50">
        <f>VLOOKUP(B105,[2]OPD!$B$101:$D$111,3,FALSE)</f>
        <v>46322</v>
      </c>
      <c r="E105" s="35">
        <v>0</v>
      </c>
      <c r="F105" s="35"/>
    </row>
    <row r="106" spans="2:6" ht="30" customHeight="1" x14ac:dyDescent="0.35">
      <c r="B106" s="25" t="s">
        <v>92</v>
      </c>
      <c r="C106" s="50"/>
      <c r="D106" s="50">
        <f>VLOOKUP(B106,[2]OPD!$B$101:$D$111,3,FALSE)</f>
        <v>46320</v>
      </c>
      <c r="E106" s="35">
        <v>0</v>
      </c>
      <c r="F106" s="35"/>
    </row>
    <row r="107" spans="2:6" ht="30" customHeight="1" x14ac:dyDescent="0.35">
      <c r="B107" s="25" t="s">
        <v>93</v>
      </c>
      <c r="C107" s="50"/>
      <c r="D107" s="50">
        <f>VLOOKUP(B107,[2]OPD!$B$101:$D$111,3,FALSE)</f>
        <v>46320</v>
      </c>
      <c r="E107" s="35">
        <v>0</v>
      </c>
      <c r="F107" s="35"/>
    </row>
    <row r="108" spans="2:6" ht="30" customHeight="1" x14ac:dyDescent="0.35">
      <c r="B108" s="25" t="s">
        <v>94</v>
      </c>
      <c r="C108" s="50"/>
      <c r="D108" s="50">
        <f>VLOOKUP(B108,[2]OPD!$B$101:$D$111,3,FALSE)</f>
        <v>46320</v>
      </c>
      <c r="E108" s="35">
        <v>0</v>
      </c>
      <c r="F108" s="35"/>
    </row>
    <row r="109" spans="2:6" ht="30" customHeight="1" x14ac:dyDescent="0.35">
      <c r="B109" s="25" t="s">
        <v>95</v>
      </c>
      <c r="C109" s="50"/>
      <c r="D109" s="50">
        <f>VLOOKUP(B109,[2]OPD!$B$101:$D$111,3,FALSE)</f>
        <v>46310</v>
      </c>
      <c r="E109" s="35">
        <v>0</v>
      </c>
      <c r="F109" s="35"/>
    </row>
    <row r="110" spans="2:6" ht="30" customHeight="1" x14ac:dyDescent="0.35">
      <c r="B110" s="29" t="s">
        <v>96</v>
      </c>
      <c r="C110" s="30"/>
      <c r="D110" s="30"/>
      <c r="E110" s="31"/>
      <c r="F110" s="31"/>
    </row>
    <row r="111" spans="2:6" ht="30" customHeight="1" x14ac:dyDescent="0.35">
      <c r="B111" s="25" t="s">
        <v>24</v>
      </c>
      <c r="C111" s="50">
        <v>46204</v>
      </c>
      <c r="D111" s="50">
        <f>VLOOKUP(B111,[2]OPD!$B$101:$D$111,3,FALSE)</f>
        <v>46325</v>
      </c>
      <c r="E111" s="35">
        <v>0.6</v>
      </c>
      <c r="F111" s="35"/>
    </row>
    <row r="112" spans="2:6" ht="30" customHeight="1" x14ac:dyDescent="0.35">
      <c r="B112" s="25" t="s">
        <v>25</v>
      </c>
      <c r="C112" s="50">
        <v>46315</v>
      </c>
      <c r="D112" s="50">
        <f>VLOOKUP(B112,[2]OPD!$B$101:$D$111,3,FALSE)</f>
        <v>46356</v>
      </c>
      <c r="E112" s="35">
        <v>0</v>
      </c>
      <c r="F112" s="35"/>
    </row>
    <row r="113" spans="2:6" ht="30" customHeight="1" x14ac:dyDescent="0.35">
      <c r="B113" s="25" t="s">
        <v>26</v>
      </c>
      <c r="C113" s="50"/>
      <c r="D113" s="50">
        <f>VLOOKUP(B113,[2]OPD!$B$101:$D$111,3,FALSE)</f>
        <v>46320</v>
      </c>
      <c r="E113" s="35">
        <v>0</v>
      </c>
      <c r="F113" s="35"/>
    </row>
    <row r="114" spans="2:6" ht="30" customHeight="1" x14ac:dyDescent="0.35">
      <c r="B114" s="25" t="s">
        <v>27</v>
      </c>
      <c r="C114" s="50"/>
      <c r="D114" s="50">
        <f>VLOOKUP(B114,[2]OPD!$B$101:$D$111,3,FALSE)</f>
        <v>46320</v>
      </c>
      <c r="E114" s="35">
        <v>0.3</v>
      </c>
      <c r="F114" s="35"/>
    </row>
    <row r="115" spans="2:6" ht="30" customHeight="1" x14ac:dyDescent="0.35">
      <c r="B115" s="25" t="s">
        <v>28</v>
      </c>
      <c r="C115" s="50"/>
      <c r="D115" s="50">
        <f>VLOOKUP(B115,[2]OPD!$B$101:$D$111,3,FALSE)</f>
        <v>46356</v>
      </c>
      <c r="E115" s="35">
        <v>0.6</v>
      </c>
      <c r="F115" s="35"/>
    </row>
  </sheetData>
  <mergeCells count="6">
    <mergeCell ref="D3:D4"/>
    <mergeCell ref="E3:E4"/>
    <mergeCell ref="F3:F4"/>
    <mergeCell ref="M2:O2"/>
    <mergeCell ref="B3:B4"/>
    <mergeCell ref="C3:C4"/>
  </mergeCells>
  <conditionalFormatting sqref="G19:G20">
    <cfRule type="expression" dxfId="876" priority="51">
      <formula>AND($C19&lt;&gt;"",$D19&lt;&gt;"",$E19&gt;0,$C19&lt;=EOMONTH(G$4,0),($C19+(($D19-$C19)*$E19))&gt;=G$4)</formula>
    </cfRule>
    <cfRule type="expression" dxfId="875" priority="52">
      <formula>AND($C19&lt;&gt;"",$D19&lt;&gt;"",$C19&lt;=EOMONTH(G$4,0),$D19&gt;=G$4)</formula>
    </cfRule>
  </conditionalFormatting>
  <conditionalFormatting sqref="G19:G21">
    <cfRule type="expression" dxfId="874" priority="55">
      <formula>AND($C19&lt;&gt;"",$D19&lt;&gt;"",$E19&gt;0,$C19&lt;=EOMONTH(G$4,0),($C19+(($D19-$C19)*$E19))&gt;=G$4)</formula>
    </cfRule>
    <cfRule type="expression" dxfId="873" priority="56">
      <formula>AND($C19&lt;&gt;"",$D19&lt;&gt;"",$C19&lt;=EOMONTH(G$4,0),$D19&gt;=G$4)</formula>
    </cfRule>
  </conditionalFormatting>
  <conditionalFormatting sqref="G27:H33 G21:V26 I27:V122">
    <cfRule type="expression" dxfId="872" priority="1105">
      <formula>AND($C21&lt;&gt;"",$D21&lt;&gt;"",$E21&lt;&gt;"",$C21&lt;=EOMONTH(G$4,0),($C21+(($D21-$C21)*$E21))&gt;=G$4)</formula>
    </cfRule>
  </conditionalFormatting>
  <conditionalFormatting sqref="G33:H33">
    <cfRule type="expression" dxfId="871" priority="1113">
      <formula>MOD(COLUMN(),2)=0</formula>
    </cfRule>
    <cfRule type="expression" dxfId="870" priority="1112">
      <formula>MOD(COLUMN(),2)</formula>
    </cfRule>
    <cfRule type="expression" dxfId="869" priority="1111">
      <formula>G$4=period_selected</formula>
    </cfRule>
    <cfRule type="expression" dxfId="868" priority="1110">
      <formula>Plan</formula>
    </cfRule>
    <cfRule type="expression" dxfId="867" priority="1109">
      <formula>ActualBeyond</formula>
    </cfRule>
    <cfRule type="expression" dxfId="866" priority="1108">
      <formula>Actual</formula>
    </cfRule>
    <cfRule type="expression" dxfId="865" priority="1107">
      <formula>PercentCompleteBeyond</formula>
    </cfRule>
  </conditionalFormatting>
  <conditionalFormatting sqref="G33:H34">
    <cfRule type="expression" dxfId="864" priority="1094">
      <formula>AND($C33&lt;&gt;"",$D33&lt;&gt;"",$E33&lt;&gt;"",$C33&lt;=EOMONTH(G$4,0),($C33+(($D33-$C33)*$E33))&gt;=G$4)</formula>
    </cfRule>
    <cfRule type="expression" dxfId="863" priority="1095">
      <formula>AND($C33&lt;&gt;"",$D33&lt;&gt;"",$C33&lt;=EOMONTH(G$4,0),$D33&gt;=G$4)</formula>
    </cfRule>
  </conditionalFormatting>
  <conditionalFormatting sqref="G34:H34">
    <cfRule type="expression" dxfId="862" priority="1099">
      <formula>Plan</formula>
    </cfRule>
    <cfRule type="expression" dxfId="861" priority="1100">
      <formula>G$4=period_selected</formula>
    </cfRule>
    <cfRule type="expression" dxfId="860" priority="1102">
      <formula>MOD(COLUMN(),2)=0</formula>
    </cfRule>
    <cfRule type="expression" dxfId="859" priority="1101">
      <formula>MOD(COLUMN(),2)</formula>
    </cfRule>
    <cfRule type="expression" dxfId="858" priority="1096">
      <formula>PercentCompleteBeyond</formula>
    </cfRule>
    <cfRule type="expression" dxfId="857" priority="1097">
      <formula>Actual</formula>
    </cfRule>
    <cfRule type="expression" dxfId="856" priority="1098">
      <formula>ActualBeyond</formula>
    </cfRule>
  </conditionalFormatting>
  <conditionalFormatting sqref="G34:H35">
    <cfRule type="expression" dxfId="855" priority="1083">
      <formula>AND($C34&lt;&gt;"",$D34&lt;&gt;"",$E34&lt;&gt;"",$C34&lt;=EOMONTH(G$4,0),($C34+(($D34-$C34)*$E34))&gt;=G$4)</formula>
    </cfRule>
    <cfRule type="expression" dxfId="854" priority="1084">
      <formula>AND($C34&lt;&gt;"",$D34&lt;&gt;"",$C34&lt;=EOMONTH(G$4,0),$D34&gt;=G$4)</formula>
    </cfRule>
  </conditionalFormatting>
  <conditionalFormatting sqref="G35:H35">
    <cfRule type="expression" dxfId="853" priority="1089">
      <formula>G$4=period_selected</formula>
    </cfRule>
    <cfRule type="expression" dxfId="852" priority="1088">
      <formula>Plan</formula>
    </cfRule>
    <cfRule type="expression" dxfId="851" priority="1087">
      <formula>ActualBeyond</formula>
    </cfRule>
    <cfRule type="expression" dxfId="850" priority="1085">
      <formula>PercentCompleteBeyond</formula>
    </cfRule>
    <cfRule type="expression" dxfId="849" priority="1086">
      <formula>Actual</formula>
    </cfRule>
    <cfRule type="expression" dxfId="848" priority="1091">
      <formula>MOD(COLUMN(),2)=0</formula>
    </cfRule>
    <cfRule type="expression" dxfId="847" priority="1090">
      <formula>MOD(COLUMN(),2)</formula>
    </cfRule>
  </conditionalFormatting>
  <conditionalFormatting sqref="G35:H36">
    <cfRule type="expression" dxfId="846" priority="1072">
      <formula>AND($C35&lt;&gt;"",$D35&lt;&gt;"",$E35&lt;&gt;"",$C35&lt;=EOMONTH(G$4,0),($C35+(($D35-$C35)*$E35))&gt;=G$4)</formula>
    </cfRule>
    <cfRule type="expression" dxfId="845" priority="1073">
      <formula>AND($C35&lt;&gt;"",$D35&lt;&gt;"",$C35&lt;=EOMONTH(G$4,0),$D35&gt;=G$4)</formula>
    </cfRule>
  </conditionalFormatting>
  <conditionalFormatting sqref="G36:H36">
    <cfRule type="expression" dxfId="844" priority="1074">
      <formula>PercentCompleteBeyond</formula>
    </cfRule>
    <cfRule type="expression" dxfId="843" priority="1075">
      <formula>Actual</formula>
    </cfRule>
    <cfRule type="expression" dxfId="842" priority="1076">
      <formula>ActualBeyond</formula>
    </cfRule>
    <cfRule type="expression" dxfId="841" priority="1077">
      <formula>Plan</formula>
    </cfRule>
    <cfRule type="expression" dxfId="840" priority="1079">
      <formula>MOD(COLUMN(),2)</formula>
    </cfRule>
    <cfRule type="expression" dxfId="839" priority="1080">
      <formula>MOD(COLUMN(),2)=0</formula>
    </cfRule>
    <cfRule type="expression" dxfId="838" priority="1078">
      <formula>G$4=period_selected</formula>
    </cfRule>
  </conditionalFormatting>
  <conditionalFormatting sqref="G36:H37">
    <cfRule type="expression" dxfId="837" priority="1061">
      <formula>AND($C36&lt;&gt;"",$D36&lt;&gt;"",$E36&lt;&gt;"",$C36&lt;=EOMONTH(G$4,0),($C36+(($D36-$C36)*$E36))&gt;=G$4)</formula>
    </cfRule>
    <cfRule type="expression" dxfId="836" priority="1062">
      <formula>AND($C36&lt;&gt;"",$D36&lt;&gt;"",$C36&lt;=EOMONTH(G$4,0),$D36&gt;=G$4)</formula>
    </cfRule>
  </conditionalFormatting>
  <conditionalFormatting sqref="G37:H37">
    <cfRule type="expression" dxfId="835" priority="1069">
      <formula>MOD(COLUMN(),2)=0</formula>
    </cfRule>
    <cfRule type="expression" dxfId="834" priority="1068">
      <formula>MOD(COLUMN(),2)</formula>
    </cfRule>
    <cfRule type="expression" dxfId="833" priority="1067">
      <formula>G$4=period_selected</formula>
    </cfRule>
    <cfRule type="expression" dxfId="832" priority="1066">
      <formula>Plan</formula>
    </cfRule>
    <cfRule type="expression" dxfId="831" priority="1065">
      <formula>ActualBeyond</formula>
    </cfRule>
    <cfRule type="expression" dxfId="830" priority="1064">
      <formula>Actual</formula>
    </cfRule>
    <cfRule type="expression" dxfId="829" priority="1063">
      <formula>PercentCompleteBeyond</formula>
    </cfRule>
  </conditionalFormatting>
  <conditionalFormatting sqref="G37:H38">
    <cfRule type="expression" dxfId="828" priority="1051">
      <formula>AND($C37&lt;&gt;"",$D37&lt;&gt;"",$C37&lt;=EOMONTH(G$4,0),$D37&gt;=G$4)</formula>
    </cfRule>
    <cfRule type="expression" dxfId="827" priority="1050">
      <formula>AND($C37&lt;&gt;"",$D37&lt;&gt;"",$E37&lt;&gt;"",$C37&lt;=EOMONTH(G$4,0),($C37+(($D37-$C37)*$E37))&gt;=G$4)</formula>
    </cfRule>
  </conditionalFormatting>
  <conditionalFormatting sqref="G38:H38">
    <cfRule type="expression" dxfId="826" priority="1057">
      <formula>MOD(COLUMN(),2)</formula>
    </cfRule>
    <cfRule type="expression" dxfId="825" priority="1056">
      <formula>G$4=period_selected</formula>
    </cfRule>
    <cfRule type="expression" dxfId="824" priority="1055">
      <formula>Plan</formula>
    </cfRule>
    <cfRule type="expression" dxfId="823" priority="1054">
      <formula>ActualBeyond</formula>
    </cfRule>
    <cfRule type="expression" dxfId="822" priority="1053">
      <formula>Actual</formula>
    </cfRule>
    <cfRule type="expression" dxfId="821" priority="1052">
      <formula>PercentCompleteBeyond</formula>
    </cfRule>
    <cfRule type="expression" dxfId="820" priority="1058">
      <formula>MOD(COLUMN(),2)=0</formula>
    </cfRule>
  </conditionalFormatting>
  <conditionalFormatting sqref="G38:H39">
    <cfRule type="expression" dxfId="819" priority="1039">
      <formula>AND($C38&lt;&gt;"",$D38&lt;&gt;"",$E38&lt;&gt;"",$C38&lt;=EOMONTH(G$4,0),($C38+(($D38-$C38)*$E38))&gt;=G$4)</formula>
    </cfRule>
    <cfRule type="expression" dxfId="818" priority="1040">
      <formula>AND($C38&lt;&gt;"",$D38&lt;&gt;"",$C38&lt;=EOMONTH(G$4,0),$D38&gt;=G$4)</formula>
    </cfRule>
  </conditionalFormatting>
  <conditionalFormatting sqref="G39:H39">
    <cfRule type="expression" dxfId="817" priority="1046">
      <formula>MOD(COLUMN(),2)</formula>
    </cfRule>
    <cfRule type="expression" dxfId="816" priority="1047">
      <formula>MOD(COLUMN(),2)=0</formula>
    </cfRule>
    <cfRule type="expression" dxfId="815" priority="1044">
      <formula>Plan</formula>
    </cfRule>
    <cfRule type="expression" dxfId="814" priority="1043">
      <formula>ActualBeyond</formula>
    </cfRule>
    <cfRule type="expression" dxfId="813" priority="1042">
      <formula>Actual</formula>
    </cfRule>
    <cfRule type="expression" dxfId="812" priority="1041">
      <formula>PercentCompleteBeyond</formula>
    </cfRule>
    <cfRule type="expression" dxfId="811" priority="1045">
      <formula>G$4=period_selected</formula>
    </cfRule>
  </conditionalFormatting>
  <conditionalFormatting sqref="G39:H40">
    <cfRule type="expression" dxfId="810" priority="1029">
      <formula>AND($C39&lt;&gt;"",$D39&lt;&gt;"",$C39&lt;=EOMONTH(G$4,0),$D39&gt;=G$4)</formula>
    </cfRule>
    <cfRule type="expression" dxfId="809" priority="1028">
      <formula>AND($C39&lt;&gt;"",$D39&lt;&gt;"",$E39&lt;&gt;"",$C39&lt;=EOMONTH(G$4,0),($C39+(($D39-$C39)*$E39))&gt;=G$4)</formula>
    </cfRule>
  </conditionalFormatting>
  <conditionalFormatting sqref="G40:H40">
    <cfRule type="expression" dxfId="808" priority="1033">
      <formula>Plan</formula>
    </cfRule>
    <cfRule type="expression" dxfId="807" priority="1032">
      <formula>ActualBeyond</formula>
    </cfRule>
    <cfRule type="expression" dxfId="806" priority="1031">
      <formula>Actual</formula>
    </cfRule>
    <cfRule type="expression" dxfId="805" priority="1030">
      <formula>PercentCompleteBeyond</formula>
    </cfRule>
    <cfRule type="expression" dxfId="804" priority="1036">
      <formula>MOD(COLUMN(),2)=0</formula>
    </cfRule>
    <cfRule type="expression" dxfId="803" priority="1035">
      <formula>MOD(COLUMN(),2)</formula>
    </cfRule>
    <cfRule type="expression" dxfId="802" priority="1034">
      <formula>G$4=period_selected</formula>
    </cfRule>
  </conditionalFormatting>
  <conditionalFormatting sqref="G40:H41">
    <cfRule type="expression" dxfId="801" priority="1018">
      <formula>AND($C40&lt;&gt;"",$D40&lt;&gt;"",$C40&lt;=EOMONTH(G$4,0),$D40&gt;=G$4)</formula>
    </cfRule>
    <cfRule type="expression" dxfId="800" priority="1017">
      <formula>AND($C40&lt;&gt;"",$D40&lt;&gt;"",$E40&lt;&gt;"",$C40&lt;=EOMONTH(G$4,0),($C40+(($D40-$C40)*$E40))&gt;=G$4)</formula>
    </cfRule>
  </conditionalFormatting>
  <conditionalFormatting sqref="G41:H41">
    <cfRule type="expression" dxfId="799" priority="1019">
      <formula>PercentCompleteBeyond</formula>
    </cfRule>
    <cfRule type="expression" dxfId="798" priority="1025">
      <formula>MOD(COLUMN(),2)=0</formula>
    </cfRule>
    <cfRule type="expression" dxfId="797" priority="1024">
      <formula>MOD(COLUMN(),2)</formula>
    </cfRule>
    <cfRule type="expression" dxfId="796" priority="1023">
      <formula>G$4=period_selected</formula>
    </cfRule>
    <cfRule type="expression" dxfId="795" priority="1022">
      <formula>Plan</formula>
    </cfRule>
    <cfRule type="expression" dxfId="794" priority="1021">
      <formula>ActualBeyond</formula>
    </cfRule>
    <cfRule type="expression" dxfId="793" priority="1020">
      <formula>Actual</formula>
    </cfRule>
  </conditionalFormatting>
  <conditionalFormatting sqref="G41:H42">
    <cfRule type="expression" dxfId="792" priority="1006">
      <formula>AND($C41&lt;&gt;"",$D41&lt;&gt;"",$E41&lt;&gt;"",$C41&lt;=EOMONTH(G$4,0),($C41+(($D41-$C41)*$E41))&gt;=G$4)</formula>
    </cfRule>
    <cfRule type="expression" dxfId="791" priority="1007">
      <formula>AND($C41&lt;&gt;"",$D41&lt;&gt;"",$C41&lt;=EOMONTH(G$4,0),$D41&gt;=G$4)</formula>
    </cfRule>
  </conditionalFormatting>
  <conditionalFormatting sqref="G42:H42">
    <cfRule type="expression" dxfId="790" priority="1012">
      <formula>G$4=period_selected</formula>
    </cfRule>
    <cfRule type="expression" dxfId="789" priority="1011">
      <formula>Plan</formula>
    </cfRule>
    <cfRule type="expression" dxfId="788" priority="1010">
      <formula>ActualBeyond</formula>
    </cfRule>
    <cfRule type="expression" dxfId="787" priority="1009">
      <formula>Actual</formula>
    </cfRule>
    <cfRule type="expression" dxfId="786" priority="1008">
      <formula>PercentCompleteBeyond</formula>
    </cfRule>
    <cfRule type="expression" dxfId="785" priority="1014">
      <formula>MOD(COLUMN(),2)=0</formula>
    </cfRule>
    <cfRule type="expression" dxfId="784" priority="1013">
      <formula>MOD(COLUMN(),2)</formula>
    </cfRule>
  </conditionalFormatting>
  <conditionalFormatting sqref="G42:H43">
    <cfRule type="expression" dxfId="783" priority="996">
      <formula>AND($C42&lt;&gt;"",$D42&lt;&gt;"",$C42&lt;=EOMONTH(G$4,0),$D42&gt;=G$4)</formula>
    </cfRule>
    <cfRule type="expression" dxfId="782" priority="995">
      <formula>AND($C42&lt;&gt;"",$D42&lt;&gt;"",$E42&lt;&gt;"",$C42&lt;=EOMONTH(G$4,0),($C42+(($D42-$C42)*$E42))&gt;=G$4)</formula>
    </cfRule>
  </conditionalFormatting>
  <conditionalFormatting sqref="G43:H43">
    <cfRule type="expression" dxfId="781" priority="1002">
      <formula>MOD(COLUMN(),2)</formula>
    </cfRule>
    <cfRule type="expression" dxfId="780" priority="1000">
      <formula>Plan</formula>
    </cfRule>
    <cfRule type="expression" dxfId="779" priority="999">
      <formula>ActualBeyond</formula>
    </cfRule>
    <cfRule type="expression" dxfId="778" priority="998">
      <formula>Actual</formula>
    </cfRule>
    <cfRule type="expression" dxfId="777" priority="1003">
      <formula>MOD(COLUMN(),2)=0</formula>
    </cfRule>
    <cfRule type="expression" dxfId="776" priority="997">
      <formula>PercentCompleteBeyond</formula>
    </cfRule>
    <cfRule type="expression" dxfId="775" priority="1001">
      <formula>G$4=period_selected</formula>
    </cfRule>
  </conditionalFormatting>
  <conditionalFormatting sqref="G43:H44">
    <cfRule type="expression" dxfId="774" priority="984">
      <formula>AND($C43&lt;&gt;"",$D43&lt;&gt;"",$E43&lt;&gt;"",$C43&lt;=EOMONTH(G$4,0),($C43+(($D43-$C43)*$E43))&gt;=G$4)</formula>
    </cfRule>
    <cfRule type="expression" dxfId="773" priority="985">
      <formula>AND($C43&lt;&gt;"",$D43&lt;&gt;"",$C43&lt;=EOMONTH(G$4,0),$D43&gt;=G$4)</formula>
    </cfRule>
  </conditionalFormatting>
  <conditionalFormatting sqref="G44:H44">
    <cfRule type="expression" dxfId="772" priority="992">
      <formula>MOD(COLUMN(),2)=0</formula>
    </cfRule>
    <cfRule type="expression" dxfId="771" priority="991">
      <formula>MOD(COLUMN(),2)</formula>
    </cfRule>
    <cfRule type="expression" dxfId="770" priority="990">
      <formula>G$4=period_selected</formula>
    </cfRule>
    <cfRule type="expression" dxfId="769" priority="989">
      <formula>Plan</formula>
    </cfRule>
    <cfRule type="expression" dxfId="768" priority="988">
      <formula>ActualBeyond</formula>
    </cfRule>
    <cfRule type="expression" dxfId="767" priority="987">
      <formula>Actual</formula>
    </cfRule>
    <cfRule type="expression" dxfId="766" priority="986">
      <formula>PercentCompleteBeyond</formula>
    </cfRule>
  </conditionalFormatting>
  <conditionalFormatting sqref="G44:H45">
    <cfRule type="expression" dxfId="765" priority="973">
      <formula>AND($C44&lt;&gt;"",$D44&lt;&gt;"",$E44&lt;&gt;"",$C44&lt;=EOMONTH(G$4,0),($C44+(($D44-$C44)*$E44))&gt;=G$4)</formula>
    </cfRule>
    <cfRule type="expression" dxfId="764" priority="974">
      <formula>AND($C44&lt;&gt;"",$D44&lt;&gt;"",$C44&lt;=EOMONTH(G$4,0),$D44&gt;=G$4)</formula>
    </cfRule>
  </conditionalFormatting>
  <conditionalFormatting sqref="G45:H45">
    <cfRule type="expression" dxfId="763" priority="977">
      <formula>ActualBeyond</formula>
    </cfRule>
    <cfRule type="expression" dxfId="762" priority="975">
      <formula>PercentCompleteBeyond</formula>
    </cfRule>
    <cfRule type="expression" dxfId="761" priority="976">
      <formula>Actual</formula>
    </cfRule>
    <cfRule type="expression" dxfId="760" priority="978">
      <formula>Plan</formula>
    </cfRule>
    <cfRule type="expression" dxfId="759" priority="979">
      <formula>G$4=period_selected</formula>
    </cfRule>
    <cfRule type="expression" dxfId="758" priority="980">
      <formula>MOD(COLUMN(),2)</formula>
    </cfRule>
    <cfRule type="expression" dxfId="757" priority="981">
      <formula>MOD(COLUMN(),2)=0</formula>
    </cfRule>
  </conditionalFormatting>
  <conditionalFormatting sqref="G45:H46">
    <cfRule type="expression" dxfId="756" priority="962">
      <formula>AND($C45&lt;&gt;"",$D45&lt;&gt;"",$E45&lt;&gt;"",$C45&lt;=EOMONTH(G$4,0),($C45+(($D45-$C45)*$E45))&gt;=G$4)</formula>
    </cfRule>
    <cfRule type="expression" dxfId="755" priority="963">
      <formula>AND($C45&lt;&gt;"",$D45&lt;&gt;"",$C45&lt;=EOMONTH(G$4,0),$D45&gt;=G$4)</formula>
    </cfRule>
  </conditionalFormatting>
  <conditionalFormatting sqref="G46:H46">
    <cfRule type="expression" dxfId="754" priority="964">
      <formula>PercentCompleteBeyond</formula>
    </cfRule>
    <cfRule type="expression" dxfId="753" priority="965">
      <formula>Actual</formula>
    </cfRule>
    <cfRule type="expression" dxfId="752" priority="966">
      <formula>ActualBeyond</formula>
    </cfRule>
    <cfRule type="expression" dxfId="751" priority="967">
      <formula>Plan</formula>
    </cfRule>
    <cfRule type="expression" dxfId="750" priority="970">
      <formula>MOD(COLUMN(),2)=0</formula>
    </cfRule>
    <cfRule type="expression" dxfId="749" priority="969">
      <formula>MOD(COLUMN(),2)</formula>
    </cfRule>
    <cfRule type="expression" dxfId="748" priority="968">
      <formula>G$4=period_selected</formula>
    </cfRule>
  </conditionalFormatting>
  <conditionalFormatting sqref="G46:H47">
    <cfRule type="expression" dxfId="747" priority="952">
      <formula>AND($C46&lt;&gt;"",$D46&lt;&gt;"",$C46&lt;=EOMONTH(G$4,0),$D46&gt;=G$4)</formula>
    </cfRule>
    <cfRule type="expression" dxfId="746" priority="951">
      <formula>AND($C46&lt;&gt;"",$D46&lt;&gt;"",$E46&lt;&gt;"",$C46&lt;=EOMONTH(G$4,0),($C46+(($D46-$C46)*$E46))&gt;=G$4)</formula>
    </cfRule>
  </conditionalFormatting>
  <conditionalFormatting sqref="G47:H47">
    <cfRule type="expression" dxfId="745" priority="959">
      <formula>MOD(COLUMN(),2)=0</formula>
    </cfRule>
    <cfRule type="expression" dxfId="744" priority="958">
      <formula>MOD(COLUMN(),2)</formula>
    </cfRule>
    <cfRule type="expression" dxfId="743" priority="957">
      <formula>G$4=period_selected</formula>
    </cfRule>
    <cfRule type="expression" dxfId="742" priority="956">
      <formula>Plan</formula>
    </cfRule>
    <cfRule type="expression" dxfId="741" priority="955">
      <formula>ActualBeyond</formula>
    </cfRule>
    <cfRule type="expression" dxfId="740" priority="954">
      <formula>Actual</formula>
    </cfRule>
    <cfRule type="expression" dxfId="739" priority="953">
      <formula>PercentCompleteBeyond</formula>
    </cfRule>
  </conditionalFormatting>
  <conditionalFormatting sqref="G47:H48">
    <cfRule type="expression" dxfId="738" priority="941">
      <formula>AND($C47&lt;&gt;"",$D47&lt;&gt;"",$C47&lt;=EOMONTH(G$4,0),$D47&gt;=G$4)</formula>
    </cfRule>
    <cfRule type="expression" dxfId="737" priority="940">
      <formula>AND($C47&lt;&gt;"",$D47&lt;&gt;"",$E47&lt;&gt;"",$C47&lt;=EOMONTH(G$4,0),($C47+(($D47-$C47)*$E47))&gt;=G$4)</formula>
    </cfRule>
  </conditionalFormatting>
  <conditionalFormatting sqref="G48:H48">
    <cfRule type="expression" dxfId="736" priority="948">
      <formula>MOD(COLUMN(),2)=0</formula>
    </cfRule>
    <cfRule type="expression" dxfId="735" priority="947">
      <formula>MOD(COLUMN(),2)</formula>
    </cfRule>
    <cfRule type="expression" dxfId="734" priority="946">
      <formula>G$4=period_selected</formula>
    </cfRule>
    <cfRule type="expression" dxfId="733" priority="945">
      <formula>Plan</formula>
    </cfRule>
    <cfRule type="expression" dxfId="732" priority="944">
      <formula>ActualBeyond</formula>
    </cfRule>
    <cfRule type="expression" dxfId="731" priority="943">
      <formula>Actual</formula>
    </cfRule>
    <cfRule type="expression" dxfId="730" priority="942">
      <formula>PercentCompleteBeyond</formula>
    </cfRule>
  </conditionalFormatting>
  <conditionalFormatting sqref="G48:H49">
    <cfRule type="expression" dxfId="729" priority="930">
      <formula>AND($C48&lt;&gt;"",$D48&lt;&gt;"",$C48&lt;=EOMONTH(G$4,0),$D48&gt;=G$4)</formula>
    </cfRule>
    <cfRule type="expression" dxfId="728" priority="929">
      <formula>AND($C48&lt;&gt;"",$D48&lt;&gt;"",$E48&lt;&gt;"",$C48&lt;=EOMONTH(G$4,0),($C48+(($D48-$C48)*$E48))&gt;=G$4)</formula>
    </cfRule>
  </conditionalFormatting>
  <conditionalFormatting sqref="G49:H49">
    <cfRule type="expression" dxfId="727" priority="936">
      <formula>MOD(COLUMN(),2)</formula>
    </cfRule>
    <cfRule type="expression" dxfId="726" priority="935">
      <formula>G$4=period_selected</formula>
    </cfRule>
    <cfRule type="expression" dxfId="725" priority="934">
      <formula>Plan</formula>
    </cfRule>
    <cfRule type="expression" dxfId="724" priority="932">
      <formula>Actual</formula>
    </cfRule>
    <cfRule type="expression" dxfId="723" priority="931">
      <formula>PercentCompleteBeyond</formula>
    </cfRule>
    <cfRule type="expression" dxfId="722" priority="933">
      <formula>ActualBeyond</formula>
    </cfRule>
    <cfRule type="expression" dxfId="721" priority="937">
      <formula>MOD(COLUMN(),2)=0</formula>
    </cfRule>
  </conditionalFormatting>
  <conditionalFormatting sqref="G49:H50">
    <cfRule type="expression" dxfId="720" priority="919">
      <formula>AND($C49&lt;&gt;"",$D49&lt;&gt;"",$C49&lt;=EOMONTH(G$4,0),$D49&gt;=G$4)</formula>
    </cfRule>
    <cfRule type="expression" dxfId="719" priority="918">
      <formula>AND($C49&lt;&gt;"",$D49&lt;&gt;"",$E49&lt;&gt;"",$C49&lt;=EOMONTH(G$4,0),($C49+(($D49-$C49)*$E49))&gt;=G$4)</formula>
    </cfRule>
  </conditionalFormatting>
  <conditionalFormatting sqref="G50:H50">
    <cfRule type="expression" dxfId="718" priority="926">
      <formula>MOD(COLUMN(),2)=0</formula>
    </cfRule>
    <cfRule type="expression" dxfId="717" priority="925">
      <formula>MOD(COLUMN(),2)</formula>
    </cfRule>
    <cfRule type="expression" dxfId="716" priority="924">
      <formula>G$4=period_selected</formula>
    </cfRule>
    <cfRule type="expression" dxfId="715" priority="923">
      <formula>Plan</formula>
    </cfRule>
    <cfRule type="expression" dxfId="714" priority="922">
      <formula>ActualBeyond</formula>
    </cfRule>
    <cfRule type="expression" dxfId="713" priority="921">
      <formula>Actual</formula>
    </cfRule>
    <cfRule type="expression" dxfId="712" priority="920">
      <formula>PercentCompleteBeyond</formula>
    </cfRule>
  </conditionalFormatting>
  <conditionalFormatting sqref="G50:H51">
    <cfRule type="expression" dxfId="711" priority="907">
      <formula>AND($C50&lt;&gt;"",$D50&lt;&gt;"",$E50&lt;&gt;"",$C50&lt;=EOMONTH(G$4,0),($C50+(($D50-$C50)*$E50))&gt;=G$4)</formula>
    </cfRule>
    <cfRule type="expression" dxfId="710" priority="908">
      <formula>AND($C50&lt;&gt;"",$D50&lt;&gt;"",$C50&lt;=EOMONTH(G$4,0),$D50&gt;=G$4)</formula>
    </cfRule>
  </conditionalFormatting>
  <conditionalFormatting sqref="G51:H51">
    <cfRule type="expression" dxfId="709" priority="909">
      <formula>PercentCompleteBeyond</formula>
    </cfRule>
    <cfRule type="expression" dxfId="708" priority="910">
      <formula>Actual</formula>
    </cfRule>
    <cfRule type="expression" dxfId="707" priority="911">
      <formula>ActualBeyond</formula>
    </cfRule>
    <cfRule type="expression" dxfId="706" priority="912">
      <formula>Plan</formula>
    </cfRule>
    <cfRule type="expression" dxfId="705" priority="913">
      <formula>G$4=period_selected</formula>
    </cfRule>
    <cfRule type="expression" dxfId="704" priority="914">
      <formula>MOD(COLUMN(),2)</formula>
    </cfRule>
    <cfRule type="expression" dxfId="703" priority="915">
      <formula>MOD(COLUMN(),2)=0</formula>
    </cfRule>
  </conditionalFormatting>
  <conditionalFormatting sqref="G51:H52">
    <cfRule type="expression" dxfId="702" priority="896">
      <formula>AND($C51&lt;&gt;"",$D51&lt;&gt;"",$E51&lt;&gt;"",$C51&lt;=EOMONTH(G$4,0),($C51+(($D51-$C51)*$E51))&gt;=G$4)</formula>
    </cfRule>
    <cfRule type="expression" dxfId="701" priority="897">
      <formula>AND($C51&lt;&gt;"",$D51&lt;&gt;"",$C51&lt;=EOMONTH(G$4,0),$D51&gt;=G$4)</formula>
    </cfRule>
  </conditionalFormatting>
  <conditionalFormatting sqref="G52:H52">
    <cfRule type="expression" dxfId="700" priority="899">
      <formula>Actual</formula>
    </cfRule>
    <cfRule type="expression" dxfId="699" priority="901">
      <formula>Plan</formula>
    </cfRule>
    <cfRule type="expression" dxfId="698" priority="902">
      <formula>G$4=period_selected</formula>
    </cfRule>
    <cfRule type="expression" dxfId="697" priority="903">
      <formula>MOD(COLUMN(),2)</formula>
    </cfRule>
    <cfRule type="expression" dxfId="696" priority="904">
      <formula>MOD(COLUMN(),2)=0</formula>
    </cfRule>
    <cfRule type="expression" dxfId="695" priority="900">
      <formula>ActualBeyond</formula>
    </cfRule>
    <cfRule type="expression" dxfId="694" priority="898">
      <formula>PercentCompleteBeyond</formula>
    </cfRule>
  </conditionalFormatting>
  <conditionalFormatting sqref="G52:H53">
    <cfRule type="expression" dxfId="693" priority="886">
      <formula>AND($C52&lt;&gt;"",$D52&lt;&gt;"",$C52&lt;=EOMONTH(G$4,0),$D52&gt;=G$4)</formula>
    </cfRule>
    <cfRule type="expression" dxfId="692" priority="885">
      <formula>AND($C52&lt;&gt;"",$D52&lt;&gt;"",$E52&lt;&gt;"",$C52&lt;=EOMONTH(G$4,0),($C52+(($D52-$C52)*$E52))&gt;=G$4)</formula>
    </cfRule>
  </conditionalFormatting>
  <conditionalFormatting sqref="G53:H53">
    <cfRule type="expression" dxfId="691" priority="890">
      <formula>Plan</formula>
    </cfRule>
    <cfRule type="expression" dxfId="690" priority="889">
      <formula>ActualBeyond</formula>
    </cfRule>
    <cfRule type="expression" dxfId="689" priority="888">
      <formula>Actual</formula>
    </cfRule>
    <cfRule type="expression" dxfId="688" priority="887">
      <formula>PercentCompleteBeyond</formula>
    </cfRule>
    <cfRule type="expression" dxfId="687" priority="893">
      <formula>MOD(COLUMN(),2)=0</formula>
    </cfRule>
    <cfRule type="expression" dxfId="686" priority="892">
      <formula>MOD(COLUMN(),2)</formula>
    </cfRule>
    <cfRule type="expression" dxfId="685" priority="891">
      <formula>G$4=period_selected</formula>
    </cfRule>
  </conditionalFormatting>
  <conditionalFormatting sqref="G53:H54">
    <cfRule type="expression" dxfId="684" priority="874">
      <formula>AND($C53&lt;&gt;"",$D53&lt;&gt;"",$E53&lt;&gt;"",$C53&lt;=EOMONTH(G$4,0),($C53+(($D53-$C53)*$E53))&gt;=G$4)</formula>
    </cfRule>
    <cfRule type="expression" dxfId="683" priority="875">
      <formula>AND($C53&lt;&gt;"",$D53&lt;&gt;"",$C53&lt;=EOMONTH(G$4,0),$D53&gt;=G$4)</formula>
    </cfRule>
  </conditionalFormatting>
  <conditionalFormatting sqref="G54:H54">
    <cfRule type="expression" dxfId="682" priority="882">
      <formula>MOD(COLUMN(),2)=0</formula>
    </cfRule>
    <cfRule type="expression" dxfId="681" priority="881">
      <formula>MOD(COLUMN(),2)</formula>
    </cfRule>
    <cfRule type="expression" dxfId="680" priority="879">
      <formula>Plan</formula>
    </cfRule>
    <cfRule type="expression" dxfId="679" priority="878">
      <formula>ActualBeyond</formula>
    </cfRule>
    <cfRule type="expression" dxfId="678" priority="877">
      <formula>Actual</formula>
    </cfRule>
    <cfRule type="expression" dxfId="677" priority="876">
      <formula>PercentCompleteBeyond</formula>
    </cfRule>
    <cfRule type="expression" dxfId="676" priority="880">
      <formula>G$4=period_selected</formula>
    </cfRule>
  </conditionalFormatting>
  <conditionalFormatting sqref="G54:H55">
    <cfRule type="expression" dxfId="675" priority="864">
      <formula>AND($C54&lt;&gt;"",$D54&lt;&gt;"",$C54&lt;=EOMONTH(G$4,0),$D54&gt;=G$4)</formula>
    </cfRule>
    <cfRule type="expression" dxfId="674" priority="863">
      <formula>AND($C54&lt;&gt;"",$D54&lt;&gt;"",$E54&lt;&gt;"",$C54&lt;=EOMONTH(G$4,0),($C54+(($D54-$C54)*$E54))&gt;=G$4)</formula>
    </cfRule>
  </conditionalFormatting>
  <conditionalFormatting sqref="G55:H55">
    <cfRule type="expression" dxfId="673" priority="868">
      <formula>Plan</formula>
    </cfRule>
    <cfRule type="expression" dxfId="672" priority="866">
      <formula>Actual</formula>
    </cfRule>
    <cfRule type="expression" dxfId="671" priority="865">
      <formula>PercentCompleteBeyond</formula>
    </cfRule>
    <cfRule type="expression" dxfId="670" priority="871">
      <formula>MOD(COLUMN(),2)=0</formula>
    </cfRule>
    <cfRule type="expression" dxfId="669" priority="870">
      <formula>MOD(COLUMN(),2)</formula>
    </cfRule>
    <cfRule type="expression" dxfId="668" priority="869">
      <formula>G$4=period_selected</formula>
    </cfRule>
    <cfRule type="expression" dxfId="667" priority="867">
      <formula>ActualBeyond</formula>
    </cfRule>
  </conditionalFormatting>
  <conditionalFormatting sqref="G55:H56">
    <cfRule type="expression" dxfId="666" priority="852">
      <formula>AND($C55&lt;&gt;"",$D55&lt;&gt;"",$E55&lt;&gt;"",$C55&lt;=EOMONTH(G$4,0),($C55+(($D55-$C55)*$E55))&gt;=G$4)</formula>
    </cfRule>
    <cfRule type="expression" dxfId="665" priority="853">
      <formula>AND($C55&lt;&gt;"",$D55&lt;&gt;"",$C55&lt;=EOMONTH(G$4,0),$D55&gt;=G$4)</formula>
    </cfRule>
  </conditionalFormatting>
  <conditionalFormatting sqref="G56:H56">
    <cfRule type="expression" dxfId="664" priority="854">
      <formula>PercentCompleteBeyond</formula>
    </cfRule>
    <cfRule type="expression" dxfId="663" priority="855">
      <formula>Actual</formula>
    </cfRule>
    <cfRule type="expression" dxfId="662" priority="856">
      <formula>ActualBeyond</formula>
    </cfRule>
    <cfRule type="expression" dxfId="661" priority="857">
      <formula>Plan</formula>
    </cfRule>
    <cfRule type="expression" dxfId="660" priority="858">
      <formula>G$4=period_selected</formula>
    </cfRule>
    <cfRule type="expression" dxfId="659" priority="859">
      <formula>MOD(COLUMN(),2)</formula>
    </cfRule>
    <cfRule type="expression" dxfId="658" priority="860">
      <formula>MOD(COLUMN(),2)=0</formula>
    </cfRule>
  </conditionalFormatting>
  <conditionalFormatting sqref="G56:H57">
    <cfRule type="expression" dxfId="657" priority="842">
      <formula>AND($C56&lt;&gt;"",$D56&lt;&gt;"",$C56&lt;=EOMONTH(G$4,0),$D56&gt;=G$4)</formula>
    </cfRule>
    <cfRule type="expression" dxfId="656" priority="841">
      <formula>AND($C56&lt;&gt;"",$D56&lt;&gt;"",$E56&lt;&gt;"",$C56&lt;=EOMONTH(G$4,0),($C56+(($D56-$C56)*$E56))&gt;=G$4)</formula>
    </cfRule>
  </conditionalFormatting>
  <conditionalFormatting sqref="G57:H57">
    <cfRule type="expression" dxfId="655" priority="843">
      <formula>PercentCompleteBeyond</formula>
    </cfRule>
    <cfRule type="expression" dxfId="654" priority="848">
      <formula>MOD(COLUMN(),2)</formula>
    </cfRule>
    <cfRule type="expression" dxfId="653" priority="849">
      <formula>MOD(COLUMN(),2)=0</formula>
    </cfRule>
    <cfRule type="expression" dxfId="652" priority="847">
      <formula>G$4=period_selected</formula>
    </cfRule>
    <cfRule type="expression" dxfId="651" priority="846">
      <formula>Plan</formula>
    </cfRule>
    <cfRule type="expression" dxfId="650" priority="845">
      <formula>ActualBeyond</formula>
    </cfRule>
    <cfRule type="expression" dxfId="649" priority="844">
      <formula>Actual</formula>
    </cfRule>
  </conditionalFormatting>
  <conditionalFormatting sqref="G57:H58">
    <cfRule type="expression" dxfId="648" priority="830">
      <formula>AND($C57&lt;&gt;"",$D57&lt;&gt;"",$E57&lt;&gt;"",$C57&lt;=EOMONTH(G$4,0),($C57+(($D57-$C57)*$E57))&gt;=G$4)</formula>
    </cfRule>
    <cfRule type="expression" dxfId="647" priority="831">
      <formula>AND($C57&lt;&gt;"",$D57&lt;&gt;"",$C57&lt;=EOMONTH(G$4,0),$D57&gt;=G$4)</formula>
    </cfRule>
  </conditionalFormatting>
  <conditionalFormatting sqref="G58:H58">
    <cfRule type="expression" dxfId="646" priority="836">
      <formula>G$4=period_selected</formula>
    </cfRule>
    <cfRule type="expression" dxfId="645" priority="837">
      <formula>MOD(COLUMN(),2)</formula>
    </cfRule>
    <cfRule type="expression" dxfId="644" priority="832">
      <formula>PercentCompleteBeyond</formula>
    </cfRule>
    <cfRule type="expression" dxfId="643" priority="833">
      <formula>Actual</formula>
    </cfRule>
    <cfRule type="expression" dxfId="642" priority="834">
      <formula>ActualBeyond</formula>
    </cfRule>
    <cfRule type="expression" dxfId="641" priority="838">
      <formula>MOD(COLUMN(),2)=0</formula>
    </cfRule>
    <cfRule type="expression" dxfId="640" priority="835">
      <formula>Plan</formula>
    </cfRule>
  </conditionalFormatting>
  <conditionalFormatting sqref="G58:H59">
    <cfRule type="expression" dxfId="639" priority="820">
      <formula>AND($C58&lt;&gt;"",$D58&lt;&gt;"",$C58&lt;=EOMONTH(G$4,0),$D58&gt;=G$4)</formula>
    </cfRule>
    <cfRule type="expression" dxfId="638" priority="819">
      <formula>AND($C58&lt;&gt;"",$D58&lt;&gt;"",$E58&lt;&gt;"",$C58&lt;=EOMONTH(G$4,0),($C58+(($D58-$C58)*$E58))&gt;=G$4)</formula>
    </cfRule>
  </conditionalFormatting>
  <conditionalFormatting sqref="G59:H59">
    <cfRule type="expression" dxfId="637" priority="822">
      <formula>Actual</formula>
    </cfRule>
    <cfRule type="expression" dxfId="636" priority="821">
      <formula>PercentCompleteBeyond</formula>
    </cfRule>
    <cfRule type="expression" dxfId="635" priority="826">
      <formula>MOD(COLUMN(),2)</formula>
    </cfRule>
    <cfRule type="expression" dxfId="634" priority="825">
      <formula>G$4=period_selected</formula>
    </cfRule>
    <cfRule type="expression" dxfId="633" priority="827">
      <formula>MOD(COLUMN(),2)=0</formula>
    </cfRule>
    <cfRule type="expression" dxfId="632" priority="824">
      <formula>Plan</formula>
    </cfRule>
    <cfRule type="expression" dxfId="631" priority="823">
      <formula>ActualBeyond</formula>
    </cfRule>
  </conditionalFormatting>
  <conditionalFormatting sqref="G59:H60">
    <cfRule type="expression" dxfId="630" priority="808">
      <formula>AND($C59&lt;&gt;"",$D59&lt;&gt;"",$E59&lt;&gt;"",$C59&lt;=EOMONTH(G$4,0),($C59+(($D59-$C59)*$E59))&gt;=G$4)</formula>
    </cfRule>
    <cfRule type="expression" dxfId="629" priority="809">
      <formula>AND($C59&lt;&gt;"",$D59&lt;&gt;"",$C59&lt;=EOMONTH(G$4,0),$D59&gt;=G$4)</formula>
    </cfRule>
  </conditionalFormatting>
  <conditionalFormatting sqref="G60:H60">
    <cfRule type="expression" dxfId="628" priority="816">
      <formula>MOD(COLUMN(),2)=0</formula>
    </cfRule>
    <cfRule type="expression" dxfId="627" priority="811">
      <formula>Actual</formula>
    </cfRule>
    <cfRule type="expression" dxfId="626" priority="812">
      <formula>ActualBeyond</formula>
    </cfRule>
    <cfRule type="expression" dxfId="625" priority="813">
      <formula>Plan</formula>
    </cfRule>
    <cfRule type="expression" dxfId="624" priority="814">
      <formula>G$4=period_selected</formula>
    </cfRule>
    <cfRule type="expression" dxfId="623" priority="815">
      <formula>MOD(COLUMN(),2)</formula>
    </cfRule>
    <cfRule type="expression" dxfId="622" priority="810">
      <formula>PercentCompleteBeyond</formula>
    </cfRule>
  </conditionalFormatting>
  <conditionalFormatting sqref="G60:H61">
    <cfRule type="expression" dxfId="621" priority="798">
      <formula>AND($C60&lt;&gt;"",$D60&lt;&gt;"",$C60&lt;=EOMONTH(G$4,0),$D60&gt;=G$4)</formula>
    </cfRule>
    <cfRule type="expression" dxfId="620" priority="797">
      <formula>AND($C60&lt;&gt;"",$D60&lt;&gt;"",$E60&lt;&gt;"",$C60&lt;=EOMONTH(G$4,0),($C60+(($D60-$C60)*$E60))&gt;=G$4)</formula>
    </cfRule>
  </conditionalFormatting>
  <conditionalFormatting sqref="G61:H61">
    <cfRule type="expression" dxfId="619" priority="805">
      <formula>MOD(COLUMN(),2)=0</formula>
    </cfRule>
    <cfRule type="expression" dxfId="618" priority="804">
      <formula>MOD(COLUMN(),2)</formula>
    </cfRule>
    <cfRule type="expression" dxfId="617" priority="803">
      <formula>G$4=period_selected</formula>
    </cfRule>
    <cfRule type="expression" dxfId="616" priority="802">
      <formula>Plan</formula>
    </cfRule>
    <cfRule type="expression" dxfId="615" priority="801">
      <formula>ActualBeyond</formula>
    </cfRule>
    <cfRule type="expression" dxfId="614" priority="800">
      <formula>Actual</formula>
    </cfRule>
    <cfRule type="expression" dxfId="613" priority="799">
      <formula>PercentCompleteBeyond</formula>
    </cfRule>
  </conditionalFormatting>
  <conditionalFormatting sqref="G61:H62">
    <cfRule type="expression" dxfId="612" priority="787">
      <formula>AND($C61&lt;&gt;"",$D61&lt;&gt;"",$C61&lt;=EOMONTH(G$4,0),$D61&gt;=G$4)</formula>
    </cfRule>
    <cfRule type="expression" dxfId="611" priority="786">
      <formula>AND($C61&lt;&gt;"",$D61&lt;&gt;"",$E61&lt;&gt;"",$C61&lt;=EOMONTH(G$4,0),($C61+(($D61-$C61)*$E61))&gt;=G$4)</formula>
    </cfRule>
  </conditionalFormatting>
  <conditionalFormatting sqref="G62:H62">
    <cfRule type="expression" dxfId="610" priority="792">
      <formula>G$4=period_selected</formula>
    </cfRule>
    <cfRule type="expression" dxfId="609" priority="790">
      <formula>ActualBeyond</formula>
    </cfRule>
    <cfRule type="expression" dxfId="608" priority="789">
      <formula>Actual</formula>
    </cfRule>
    <cfRule type="expression" dxfId="607" priority="788">
      <formula>PercentCompleteBeyond</formula>
    </cfRule>
    <cfRule type="expression" dxfId="606" priority="794">
      <formula>MOD(COLUMN(),2)=0</formula>
    </cfRule>
    <cfRule type="expression" dxfId="605" priority="791">
      <formula>Plan</formula>
    </cfRule>
    <cfRule type="expression" dxfId="604" priority="793">
      <formula>MOD(COLUMN(),2)</formula>
    </cfRule>
  </conditionalFormatting>
  <conditionalFormatting sqref="G62:H63">
    <cfRule type="expression" dxfId="603" priority="775">
      <formula>AND($C62&lt;&gt;"",$D62&lt;&gt;"",$E62&lt;&gt;"",$C62&lt;=EOMONTH(G$4,0),($C62+(($D62-$C62)*$E62))&gt;=G$4)</formula>
    </cfRule>
    <cfRule type="expression" dxfId="602" priority="776">
      <formula>AND($C62&lt;&gt;"",$D62&lt;&gt;"",$C62&lt;=EOMONTH(G$4,0),$D62&gt;=G$4)</formula>
    </cfRule>
  </conditionalFormatting>
  <conditionalFormatting sqref="G63:H63">
    <cfRule type="expression" dxfId="601" priority="783">
      <formula>MOD(COLUMN(),2)=0</formula>
    </cfRule>
    <cfRule type="expression" dxfId="600" priority="782">
      <formula>MOD(COLUMN(),2)</formula>
    </cfRule>
    <cfRule type="expression" dxfId="599" priority="777">
      <formula>PercentCompleteBeyond</formula>
    </cfRule>
    <cfRule type="expression" dxfId="598" priority="778">
      <formula>Actual</formula>
    </cfRule>
    <cfRule type="expression" dxfId="597" priority="779">
      <formula>ActualBeyond</formula>
    </cfRule>
    <cfRule type="expression" dxfId="596" priority="780">
      <formula>Plan</formula>
    </cfRule>
    <cfRule type="expression" dxfId="595" priority="781">
      <formula>G$4=period_selected</formula>
    </cfRule>
  </conditionalFormatting>
  <conditionalFormatting sqref="G63:H64">
    <cfRule type="expression" dxfId="594" priority="765">
      <formula>AND($C63&lt;&gt;"",$D63&lt;&gt;"",$C63&lt;=EOMONTH(G$4,0),$D63&gt;=G$4)</formula>
    </cfRule>
    <cfRule type="expression" dxfId="593" priority="764">
      <formula>AND($C63&lt;&gt;"",$D63&lt;&gt;"",$E63&lt;&gt;"",$C63&lt;=EOMONTH(G$4,0),($C63+(($D63-$C63)*$E63))&gt;=G$4)</formula>
    </cfRule>
  </conditionalFormatting>
  <conditionalFormatting sqref="G64:H64">
    <cfRule type="expression" dxfId="592" priority="769">
      <formula>Plan</formula>
    </cfRule>
    <cfRule type="expression" dxfId="591" priority="768">
      <formula>ActualBeyond</formula>
    </cfRule>
    <cfRule type="expression" dxfId="590" priority="767">
      <formula>Actual</formula>
    </cfRule>
    <cfRule type="expression" dxfId="589" priority="766">
      <formula>PercentCompleteBeyond</formula>
    </cfRule>
    <cfRule type="expression" dxfId="588" priority="772">
      <formula>MOD(COLUMN(),2)=0</formula>
    </cfRule>
    <cfRule type="expression" dxfId="587" priority="771">
      <formula>MOD(COLUMN(),2)</formula>
    </cfRule>
    <cfRule type="expression" dxfId="586" priority="770">
      <formula>G$4=period_selected</formula>
    </cfRule>
  </conditionalFormatting>
  <conditionalFormatting sqref="G64:H65">
    <cfRule type="expression" dxfId="585" priority="754">
      <formula>AND($C64&lt;&gt;"",$D64&lt;&gt;"",$C64&lt;=EOMONTH(G$4,0),$D64&gt;=G$4)</formula>
    </cfRule>
    <cfRule type="expression" dxfId="584" priority="753">
      <formula>AND($C64&lt;&gt;"",$D64&lt;&gt;"",$E64&lt;&gt;"",$C64&lt;=EOMONTH(G$4,0),($C64+(($D64-$C64)*$E64))&gt;=G$4)</formula>
    </cfRule>
  </conditionalFormatting>
  <conditionalFormatting sqref="G65:H65">
    <cfRule type="expression" dxfId="583" priority="759">
      <formula>G$4=period_selected</formula>
    </cfRule>
    <cfRule type="expression" dxfId="582" priority="761">
      <formula>MOD(COLUMN(),2)=0</formula>
    </cfRule>
    <cfRule type="expression" dxfId="581" priority="760">
      <formula>MOD(COLUMN(),2)</formula>
    </cfRule>
    <cfRule type="expression" dxfId="580" priority="758">
      <formula>Plan</formula>
    </cfRule>
    <cfRule type="expression" dxfId="579" priority="757">
      <formula>ActualBeyond</formula>
    </cfRule>
    <cfRule type="expression" dxfId="578" priority="756">
      <formula>Actual</formula>
    </cfRule>
    <cfRule type="expression" dxfId="577" priority="755">
      <formula>PercentCompleteBeyond</formula>
    </cfRule>
  </conditionalFormatting>
  <conditionalFormatting sqref="G65:H66">
    <cfRule type="expression" dxfId="576" priority="743">
      <formula>AND($C65&lt;&gt;"",$D65&lt;&gt;"",$C65&lt;=EOMONTH(G$4,0),$D65&gt;=G$4)</formula>
    </cfRule>
    <cfRule type="expression" dxfId="575" priority="742">
      <formula>AND($C65&lt;&gt;"",$D65&lt;&gt;"",$E65&lt;&gt;"",$C65&lt;=EOMONTH(G$4,0),($C65+(($D65-$C65)*$E65))&gt;=G$4)</formula>
    </cfRule>
  </conditionalFormatting>
  <conditionalFormatting sqref="G66:H66">
    <cfRule type="expression" dxfId="574" priority="745">
      <formula>Actual</formula>
    </cfRule>
    <cfRule type="expression" dxfId="573" priority="744">
      <formula>PercentCompleteBeyond</formula>
    </cfRule>
    <cfRule type="expression" dxfId="572" priority="749">
      <formula>MOD(COLUMN(),2)</formula>
    </cfRule>
    <cfRule type="expression" dxfId="571" priority="750">
      <formula>MOD(COLUMN(),2)=0</formula>
    </cfRule>
    <cfRule type="expression" dxfId="570" priority="748">
      <formula>G$4=period_selected</formula>
    </cfRule>
    <cfRule type="expression" dxfId="569" priority="747">
      <formula>Plan</formula>
    </cfRule>
    <cfRule type="expression" dxfId="568" priority="746">
      <formula>ActualBeyond</formula>
    </cfRule>
  </conditionalFormatting>
  <conditionalFormatting sqref="G66:H67">
    <cfRule type="expression" dxfId="567" priority="731">
      <formula>AND($C66&lt;&gt;"",$D66&lt;&gt;"",$E66&lt;&gt;"",$C66&lt;=EOMONTH(G$4,0),($C66+(($D66-$C66)*$E66))&gt;=G$4)</formula>
    </cfRule>
    <cfRule type="expression" dxfId="566" priority="732">
      <formula>AND($C66&lt;&gt;"",$D66&lt;&gt;"",$C66&lt;=EOMONTH(G$4,0),$D66&gt;=G$4)</formula>
    </cfRule>
  </conditionalFormatting>
  <conditionalFormatting sqref="G67:H67">
    <cfRule type="expression" dxfId="565" priority="735">
      <formula>ActualBeyond</formula>
    </cfRule>
    <cfRule type="expression" dxfId="564" priority="734">
      <formula>Actual</formula>
    </cfRule>
    <cfRule type="expression" dxfId="563" priority="733">
      <formula>PercentCompleteBeyond</formula>
    </cfRule>
    <cfRule type="expression" dxfId="562" priority="739">
      <formula>MOD(COLUMN(),2)=0</formula>
    </cfRule>
    <cfRule type="expression" dxfId="561" priority="738">
      <formula>MOD(COLUMN(),2)</formula>
    </cfRule>
    <cfRule type="expression" dxfId="560" priority="737">
      <formula>G$4=period_selected</formula>
    </cfRule>
    <cfRule type="expression" dxfId="559" priority="736">
      <formula>Plan</formula>
    </cfRule>
  </conditionalFormatting>
  <conditionalFormatting sqref="G67:H68">
    <cfRule type="expression" dxfId="558" priority="721">
      <formula>AND($C67&lt;&gt;"",$D67&lt;&gt;"",$C67&lt;=EOMONTH(G$4,0),$D67&gt;=G$4)</formula>
    </cfRule>
    <cfRule type="expression" dxfId="557" priority="720">
      <formula>AND($C67&lt;&gt;"",$D67&lt;&gt;"",$E67&lt;&gt;"",$C67&lt;=EOMONTH(G$4,0),($C67+(($D67-$C67)*$E67))&gt;=G$4)</formula>
    </cfRule>
  </conditionalFormatting>
  <conditionalFormatting sqref="G68:H68">
    <cfRule type="expression" dxfId="556" priority="728">
      <formula>MOD(COLUMN(),2)=0</formula>
    </cfRule>
    <cfRule type="expression" dxfId="555" priority="727">
      <formula>MOD(COLUMN(),2)</formula>
    </cfRule>
    <cfRule type="expression" dxfId="554" priority="726">
      <formula>G$4=period_selected</formula>
    </cfRule>
    <cfRule type="expression" dxfId="553" priority="725">
      <formula>Plan</formula>
    </cfRule>
    <cfRule type="expression" dxfId="552" priority="724">
      <formula>ActualBeyond</formula>
    </cfRule>
    <cfRule type="expression" dxfId="551" priority="723">
      <formula>Actual</formula>
    </cfRule>
    <cfRule type="expression" dxfId="550" priority="722">
      <formula>PercentCompleteBeyond</formula>
    </cfRule>
  </conditionalFormatting>
  <conditionalFormatting sqref="G68:H69">
    <cfRule type="expression" dxfId="549" priority="710">
      <formula>AND($C68&lt;&gt;"",$D68&lt;&gt;"",$C68&lt;=EOMONTH(G$4,0),$D68&gt;=G$4)</formula>
    </cfRule>
    <cfRule type="expression" dxfId="548" priority="709">
      <formula>AND($C68&lt;&gt;"",$D68&lt;&gt;"",$E68&lt;&gt;"",$C68&lt;=EOMONTH(G$4,0),($C68+(($D68-$C68)*$E68))&gt;=G$4)</formula>
    </cfRule>
  </conditionalFormatting>
  <conditionalFormatting sqref="G69:H69">
    <cfRule type="expression" dxfId="547" priority="717">
      <formula>MOD(COLUMN(),2)=0</formula>
    </cfRule>
    <cfRule type="expression" dxfId="546" priority="711">
      <formula>PercentCompleteBeyond</formula>
    </cfRule>
    <cfRule type="expression" dxfId="545" priority="712">
      <formula>Actual</formula>
    </cfRule>
    <cfRule type="expression" dxfId="544" priority="713">
      <formula>ActualBeyond</formula>
    </cfRule>
    <cfRule type="expression" dxfId="543" priority="714">
      <formula>Plan</formula>
    </cfRule>
    <cfRule type="expression" dxfId="542" priority="715">
      <formula>G$4=period_selected</formula>
    </cfRule>
    <cfRule type="expression" dxfId="541" priority="716">
      <formula>MOD(COLUMN(),2)</formula>
    </cfRule>
  </conditionalFormatting>
  <conditionalFormatting sqref="G69:H70">
    <cfRule type="expression" dxfId="540" priority="698">
      <formula>AND($C69&lt;&gt;"",$D69&lt;&gt;"",$E69&lt;&gt;"",$C69&lt;=EOMONTH(G$4,0),($C69+(($D69-$C69)*$E69))&gt;=G$4)</formula>
    </cfRule>
    <cfRule type="expression" dxfId="539" priority="699">
      <formula>AND($C69&lt;&gt;"",$D69&lt;&gt;"",$C69&lt;=EOMONTH(G$4,0),$D69&gt;=G$4)</formula>
    </cfRule>
  </conditionalFormatting>
  <conditionalFormatting sqref="G70:H70">
    <cfRule type="expression" dxfId="538" priority="700">
      <formula>PercentCompleteBeyond</formula>
    </cfRule>
    <cfRule type="expression" dxfId="537" priority="701">
      <formula>Actual</formula>
    </cfRule>
    <cfRule type="expression" dxfId="536" priority="706">
      <formula>MOD(COLUMN(),2)=0</formula>
    </cfRule>
    <cfRule type="expression" dxfId="535" priority="705">
      <formula>MOD(COLUMN(),2)</formula>
    </cfRule>
    <cfRule type="expression" dxfId="534" priority="704">
      <formula>G$4=period_selected</formula>
    </cfRule>
    <cfRule type="expression" dxfId="533" priority="703">
      <formula>Plan</formula>
    </cfRule>
    <cfRule type="expression" dxfId="532" priority="702">
      <formula>ActualBeyond</formula>
    </cfRule>
  </conditionalFormatting>
  <conditionalFormatting sqref="G70:H71">
    <cfRule type="expression" dxfId="531" priority="688">
      <formula>AND($C70&lt;&gt;"",$D70&lt;&gt;"",$C70&lt;=EOMONTH(G$4,0),$D70&gt;=G$4)</formula>
    </cfRule>
    <cfRule type="expression" dxfId="530" priority="687">
      <formula>AND($C70&lt;&gt;"",$D70&lt;&gt;"",$E70&lt;&gt;"",$C70&lt;=EOMONTH(G$4,0),($C70+(($D70-$C70)*$E70))&gt;=G$4)</formula>
    </cfRule>
  </conditionalFormatting>
  <conditionalFormatting sqref="G71:H71">
    <cfRule type="expression" dxfId="529" priority="689">
      <formula>PercentCompleteBeyond</formula>
    </cfRule>
    <cfRule type="expression" dxfId="528" priority="690">
      <formula>Actual</formula>
    </cfRule>
    <cfRule type="expression" dxfId="527" priority="691">
      <formula>ActualBeyond</formula>
    </cfRule>
    <cfRule type="expression" dxfId="526" priority="692">
      <formula>Plan</formula>
    </cfRule>
    <cfRule type="expression" dxfId="525" priority="694">
      <formula>MOD(COLUMN(),2)</formula>
    </cfRule>
    <cfRule type="expression" dxfId="524" priority="695">
      <formula>MOD(COLUMN(),2)=0</formula>
    </cfRule>
    <cfRule type="expression" dxfId="523" priority="693">
      <formula>G$4=period_selected</formula>
    </cfRule>
  </conditionalFormatting>
  <conditionalFormatting sqref="G71:H72">
    <cfRule type="expression" dxfId="522" priority="677">
      <formula>AND($C71&lt;&gt;"",$D71&lt;&gt;"",$C71&lt;=EOMONTH(G$4,0),$D71&gt;=G$4)</formula>
    </cfRule>
    <cfRule type="expression" dxfId="521" priority="676">
      <formula>AND($C71&lt;&gt;"",$D71&lt;&gt;"",$E71&lt;&gt;"",$C71&lt;=EOMONTH(G$4,0),($C71+(($D71-$C71)*$E71))&gt;=G$4)</formula>
    </cfRule>
  </conditionalFormatting>
  <conditionalFormatting sqref="G72:H72">
    <cfRule type="expression" dxfId="520" priority="682">
      <formula>G$4=period_selected</formula>
    </cfRule>
    <cfRule type="expression" dxfId="519" priority="681">
      <formula>Plan</formula>
    </cfRule>
    <cfRule type="expression" dxfId="518" priority="680">
      <formula>ActualBeyond</formula>
    </cfRule>
    <cfRule type="expression" dxfId="517" priority="679">
      <formula>Actual</formula>
    </cfRule>
    <cfRule type="expression" dxfId="516" priority="678">
      <formula>PercentCompleteBeyond</formula>
    </cfRule>
    <cfRule type="expression" dxfId="515" priority="684">
      <formula>MOD(COLUMN(),2)=0</formula>
    </cfRule>
    <cfRule type="expression" dxfId="514" priority="683">
      <formula>MOD(COLUMN(),2)</formula>
    </cfRule>
  </conditionalFormatting>
  <conditionalFormatting sqref="G72:H73">
    <cfRule type="expression" dxfId="513" priority="666">
      <formula>AND($C72&lt;&gt;"",$D72&lt;&gt;"",$C72&lt;=EOMONTH(G$4,0),$D72&gt;=G$4)</formula>
    </cfRule>
    <cfRule type="expression" dxfId="512" priority="665">
      <formula>AND($C72&lt;&gt;"",$D72&lt;&gt;"",$E72&lt;&gt;"",$C72&lt;=EOMONTH(G$4,0),($C72+(($D72-$C72)*$E72))&gt;=G$4)</formula>
    </cfRule>
  </conditionalFormatting>
  <conditionalFormatting sqref="G73:H73">
    <cfRule type="expression" dxfId="511" priority="673">
      <formula>MOD(COLUMN(),2)=0</formula>
    </cfRule>
    <cfRule type="expression" dxfId="510" priority="672">
      <formula>MOD(COLUMN(),2)</formula>
    </cfRule>
    <cfRule type="expression" dxfId="509" priority="671">
      <formula>G$4=period_selected</formula>
    </cfRule>
    <cfRule type="expression" dxfId="508" priority="670">
      <formula>Plan</formula>
    </cfRule>
    <cfRule type="expression" dxfId="507" priority="669">
      <formula>ActualBeyond</formula>
    </cfRule>
    <cfRule type="expression" dxfId="506" priority="668">
      <formula>Actual</formula>
    </cfRule>
    <cfRule type="expression" dxfId="505" priority="667">
      <formula>PercentCompleteBeyond</formula>
    </cfRule>
  </conditionalFormatting>
  <conditionalFormatting sqref="G73:H74">
    <cfRule type="expression" dxfId="504" priority="655">
      <formula>AND($C73&lt;&gt;"",$D73&lt;&gt;"",$C73&lt;=EOMONTH(G$4,0),$D73&gt;=G$4)</formula>
    </cfRule>
    <cfRule type="expression" dxfId="503" priority="654">
      <formula>AND($C73&lt;&gt;"",$D73&lt;&gt;"",$E73&lt;&gt;"",$C73&lt;=EOMONTH(G$4,0),($C73+(($D73-$C73)*$E73))&gt;=G$4)</formula>
    </cfRule>
  </conditionalFormatting>
  <conditionalFormatting sqref="G74:H74">
    <cfRule type="expression" dxfId="502" priority="662">
      <formula>MOD(COLUMN(),2)=0</formula>
    </cfRule>
    <cfRule type="expression" dxfId="501" priority="661">
      <formula>MOD(COLUMN(),2)</formula>
    </cfRule>
    <cfRule type="expression" dxfId="500" priority="660">
      <formula>G$4=period_selected</formula>
    </cfRule>
    <cfRule type="expression" dxfId="499" priority="659">
      <formula>Plan</formula>
    </cfRule>
    <cfRule type="expression" dxfId="498" priority="658">
      <formula>ActualBeyond</formula>
    </cfRule>
    <cfRule type="expression" dxfId="497" priority="657">
      <formula>Actual</formula>
    </cfRule>
    <cfRule type="expression" dxfId="496" priority="656">
      <formula>PercentCompleteBeyond</formula>
    </cfRule>
  </conditionalFormatting>
  <conditionalFormatting sqref="G74:H75">
    <cfRule type="expression" dxfId="495" priority="644">
      <formula>AND($C74&lt;&gt;"",$D74&lt;&gt;"",$C74&lt;=EOMONTH(G$4,0),$D74&gt;=G$4)</formula>
    </cfRule>
    <cfRule type="expression" dxfId="494" priority="643">
      <formula>AND($C74&lt;&gt;"",$D74&lt;&gt;"",$E74&lt;&gt;"",$C74&lt;=EOMONTH(G$4,0),($C74+(($D74-$C74)*$E74))&gt;=G$4)</formula>
    </cfRule>
  </conditionalFormatting>
  <conditionalFormatting sqref="G75:H75">
    <cfRule type="expression" dxfId="493" priority="649">
      <formula>G$4=period_selected</formula>
    </cfRule>
    <cfRule type="expression" dxfId="492" priority="648">
      <formula>Plan</formula>
    </cfRule>
    <cfRule type="expression" dxfId="491" priority="647">
      <formula>ActualBeyond</formula>
    </cfRule>
    <cfRule type="expression" dxfId="490" priority="646">
      <formula>Actual</formula>
    </cfRule>
    <cfRule type="expression" dxfId="489" priority="645">
      <formula>PercentCompleteBeyond</formula>
    </cfRule>
    <cfRule type="expression" dxfId="488" priority="651">
      <formula>MOD(COLUMN(),2)=0</formula>
    </cfRule>
    <cfRule type="expression" dxfId="487" priority="650">
      <formula>MOD(COLUMN(),2)</formula>
    </cfRule>
  </conditionalFormatting>
  <conditionalFormatting sqref="G75:H76">
    <cfRule type="expression" dxfId="486" priority="632">
      <formula>AND($C75&lt;&gt;"",$D75&lt;&gt;"",$E75&lt;&gt;"",$C75&lt;=EOMONTH(G$4,0),($C75+(($D75-$C75)*$E75))&gt;=G$4)</formula>
    </cfRule>
    <cfRule type="expression" dxfId="485" priority="633">
      <formula>AND($C75&lt;&gt;"",$D75&lt;&gt;"",$C75&lt;=EOMONTH(G$4,0),$D75&gt;=G$4)</formula>
    </cfRule>
  </conditionalFormatting>
  <conditionalFormatting sqref="G76:H76">
    <cfRule type="expression" dxfId="484" priority="640">
      <formula>MOD(COLUMN(),2)=0</formula>
    </cfRule>
    <cfRule type="expression" dxfId="483" priority="639">
      <formula>MOD(COLUMN(),2)</formula>
    </cfRule>
    <cfRule type="expression" dxfId="482" priority="638">
      <formula>G$4=period_selected</formula>
    </cfRule>
    <cfRule type="expression" dxfId="481" priority="637">
      <formula>Plan</formula>
    </cfRule>
    <cfRule type="expression" dxfId="480" priority="636">
      <formula>ActualBeyond</formula>
    </cfRule>
    <cfRule type="expression" dxfId="479" priority="635">
      <formula>Actual</formula>
    </cfRule>
    <cfRule type="expression" dxfId="478" priority="634">
      <formula>PercentCompleteBeyond</formula>
    </cfRule>
  </conditionalFormatting>
  <conditionalFormatting sqref="G76:H77">
    <cfRule type="expression" dxfId="477" priority="621">
      <formula>AND($C76&lt;&gt;"",$D76&lt;&gt;"",$E76&lt;&gt;"",$C76&lt;=EOMONTH(G$4,0),($C76+(($D76-$C76)*$E76))&gt;=G$4)</formula>
    </cfRule>
    <cfRule type="expression" dxfId="476" priority="622">
      <formula>AND($C76&lt;&gt;"",$D76&lt;&gt;"",$C76&lt;=EOMONTH(G$4,0),$D76&gt;=G$4)</formula>
    </cfRule>
  </conditionalFormatting>
  <conditionalFormatting sqref="G77:H77">
    <cfRule type="expression" dxfId="475" priority="626">
      <formula>Plan</formula>
    </cfRule>
    <cfRule type="expression" dxfId="474" priority="627">
      <formula>G$4=period_selected</formula>
    </cfRule>
    <cfRule type="expression" dxfId="473" priority="628">
      <formula>MOD(COLUMN(),2)</formula>
    </cfRule>
    <cfRule type="expression" dxfId="472" priority="629">
      <formula>MOD(COLUMN(),2)=0</formula>
    </cfRule>
    <cfRule type="expression" dxfId="471" priority="623">
      <formula>PercentCompleteBeyond</formula>
    </cfRule>
    <cfRule type="expression" dxfId="470" priority="624">
      <formula>Actual</formula>
    </cfRule>
    <cfRule type="expression" dxfId="469" priority="625">
      <formula>ActualBeyond</formula>
    </cfRule>
  </conditionalFormatting>
  <conditionalFormatting sqref="G77:H78">
    <cfRule type="expression" dxfId="468" priority="610">
      <formula>AND($C77&lt;&gt;"",$D77&lt;&gt;"",$E77&lt;&gt;"",$C77&lt;=EOMONTH(G$4,0),($C77+(($D77-$C77)*$E77))&gt;=G$4)</formula>
    </cfRule>
    <cfRule type="expression" dxfId="467" priority="611">
      <formula>AND($C77&lt;&gt;"",$D77&lt;&gt;"",$C77&lt;=EOMONTH(G$4,0),$D77&gt;=G$4)</formula>
    </cfRule>
  </conditionalFormatting>
  <conditionalFormatting sqref="G78:H78">
    <cfRule type="expression" dxfId="466" priority="612">
      <formula>PercentCompleteBeyond</formula>
    </cfRule>
    <cfRule type="expression" dxfId="465" priority="613">
      <formula>Actual</formula>
    </cfRule>
    <cfRule type="expression" dxfId="464" priority="614">
      <formula>ActualBeyond</formula>
    </cfRule>
    <cfRule type="expression" dxfId="463" priority="615">
      <formula>Plan</formula>
    </cfRule>
    <cfRule type="expression" dxfId="462" priority="616">
      <formula>G$4=period_selected</formula>
    </cfRule>
    <cfRule type="expression" dxfId="461" priority="617">
      <formula>MOD(COLUMN(),2)</formula>
    </cfRule>
    <cfRule type="expression" dxfId="460" priority="618">
      <formula>MOD(COLUMN(),2)=0</formula>
    </cfRule>
  </conditionalFormatting>
  <conditionalFormatting sqref="G78:H79">
    <cfRule type="expression" dxfId="459" priority="599">
      <formula>AND($C78&lt;&gt;"",$D78&lt;&gt;"",$E78&lt;&gt;"",$C78&lt;=EOMONTH(G$4,0),($C78+(($D78-$C78)*$E78))&gt;=G$4)</formula>
    </cfRule>
    <cfRule type="expression" dxfId="458" priority="600">
      <formula>AND($C78&lt;&gt;"",$D78&lt;&gt;"",$C78&lt;=EOMONTH(G$4,0),$D78&gt;=G$4)</formula>
    </cfRule>
  </conditionalFormatting>
  <conditionalFormatting sqref="G79:H79">
    <cfRule type="expression" dxfId="457" priority="606">
      <formula>MOD(COLUMN(),2)</formula>
    </cfRule>
    <cfRule type="expression" dxfId="456" priority="602">
      <formula>Actual</formula>
    </cfRule>
    <cfRule type="expression" dxfId="455" priority="603">
      <formula>ActualBeyond</formula>
    </cfRule>
    <cfRule type="expression" dxfId="454" priority="604">
      <formula>Plan</formula>
    </cfRule>
    <cfRule type="expression" dxfId="453" priority="605">
      <formula>G$4=period_selected</formula>
    </cfRule>
    <cfRule type="expression" dxfId="452" priority="607">
      <formula>MOD(COLUMN(),2)=0</formula>
    </cfRule>
    <cfRule type="expression" dxfId="451" priority="601">
      <formula>PercentCompleteBeyond</formula>
    </cfRule>
  </conditionalFormatting>
  <conditionalFormatting sqref="G79:H80">
    <cfRule type="expression" dxfId="450" priority="589">
      <formula>AND($C79&lt;&gt;"",$D79&lt;&gt;"",$C79&lt;=EOMONTH(G$4,0),$D79&gt;=G$4)</formula>
    </cfRule>
    <cfRule type="expression" dxfId="449" priority="588">
      <formula>AND($C79&lt;&gt;"",$D79&lt;&gt;"",$E79&lt;&gt;"",$C79&lt;=EOMONTH(G$4,0),($C79+(($D79-$C79)*$E79))&gt;=G$4)</formula>
    </cfRule>
  </conditionalFormatting>
  <conditionalFormatting sqref="G80:H80">
    <cfRule type="expression" dxfId="448" priority="596">
      <formula>MOD(COLUMN(),2)=0</formula>
    </cfRule>
    <cfRule type="expression" dxfId="447" priority="595">
      <formula>MOD(COLUMN(),2)</formula>
    </cfRule>
    <cfRule type="expression" dxfId="446" priority="594">
      <formula>G$4=period_selected</formula>
    </cfRule>
    <cfRule type="expression" dxfId="445" priority="593">
      <formula>Plan</formula>
    </cfRule>
    <cfRule type="expression" dxfId="444" priority="592">
      <formula>ActualBeyond</formula>
    </cfRule>
    <cfRule type="expression" dxfId="443" priority="591">
      <formula>Actual</formula>
    </cfRule>
    <cfRule type="expression" dxfId="442" priority="590">
      <formula>PercentCompleteBeyond</formula>
    </cfRule>
  </conditionalFormatting>
  <conditionalFormatting sqref="G80:H81">
    <cfRule type="expression" dxfId="441" priority="577">
      <formula>AND($C80&lt;&gt;"",$D80&lt;&gt;"",$E80&lt;&gt;"",$C80&lt;=EOMONTH(G$4,0),($C80+(($D80-$C80)*$E80))&gt;=G$4)</formula>
    </cfRule>
    <cfRule type="expression" dxfId="440" priority="578">
      <formula>AND($C80&lt;&gt;"",$D80&lt;&gt;"",$C80&lt;=EOMONTH(G$4,0),$D80&gt;=G$4)</formula>
    </cfRule>
  </conditionalFormatting>
  <conditionalFormatting sqref="G81:H81">
    <cfRule type="expression" dxfId="439" priority="582">
      <formula>Plan</formula>
    </cfRule>
    <cfRule type="expression" dxfId="438" priority="581">
      <formula>ActualBeyond</formula>
    </cfRule>
    <cfRule type="expression" dxfId="437" priority="580">
      <formula>Actual</formula>
    </cfRule>
    <cfRule type="expression" dxfId="436" priority="579">
      <formula>PercentCompleteBeyond</formula>
    </cfRule>
    <cfRule type="expression" dxfId="435" priority="585">
      <formula>MOD(COLUMN(),2)=0</formula>
    </cfRule>
    <cfRule type="expression" dxfId="434" priority="584">
      <formula>MOD(COLUMN(),2)</formula>
    </cfRule>
    <cfRule type="expression" dxfId="433" priority="583">
      <formula>G$4=period_selected</formula>
    </cfRule>
  </conditionalFormatting>
  <conditionalFormatting sqref="G81:H82">
    <cfRule type="expression" dxfId="432" priority="567">
      <formula>AND($C81&lt;&gt;"",$D81&lt;&gt;"",$C81&lt;=EOMONTH(G$4,0),$D81&gt;=G$4)</formula>
    </cfRule>
    <cfRule type="expression" dxfId="431" priority="566">
      <formula>AND($C81&lt;&gt;"",$D81&lt;&gt;"",$E81&lt;&gt;"",$C81&lt;=EOMONTH(G$4,0),($C81+(($D81-$C81)*$E81))&gt;=G$4)</formula>
    </cfRule>
  </conditionalFormatting>
  <conditionalFormatting sqref="G82:H82">
    <cfRule type="expression" dxfId="430" priority="573">
      <formula>MOD(COLUMN(),2)</formula>
    </cfRule>
    <cfRule type="expression" dxfId="429" priority="569">
      <formula>Actual</formula>
    </cfRule>
    <cfRule type="expression" dxfId="428" priority="574">
      <formula>MOD(COLUMN(),2)=0</formula>
    </cfRule>
    <cfRule type="expression" dxfId="427" priority="572">
      <formula>G$4=period_selected</formula>
    </cfRule>
    <cfRule type="expression" dxfId="426" priority="571">
      <formula>Plan</formula>
    </cfRule>
    <cfRule type="expression" dxfId="425" priority="570">
      <formula>ActualBeyond</formula>
    </cfRule>
    <cfRule type="expression" dxfId="424" priority="568">
      <formula>PercentCompleteBeyond</formula>
    </cfRule>
  </conditionalFormatting>
  <conditionalFormatting sqref="G82:H83">
    <cfRule type="expression" dxfId="423" priority="555">
      <formula>AND($C82&lt;&gt;"",$D82&lt;&gt;"",$E82&lt;&gt;"",$C82&lt;=EOMONTH(G$4,0),($C82+(($D82-$C82)*$E82))&gt;=G$4)</formula>
    </cfRule>
    <cfRule type="expression" dxfId="422" priority="556">
      <formula>AND($C82&lt;&gt;"",$D82&lt;&gt;"",$C82&lt;=EOMONTH(G$4,0),$D82&gt;=G$4)</formula>
    </cfRule>
  </conditionalFormatting>
  <conditionalFormatting sqref="G83:H83">
    <cfRule type="expression" dxfId="421" priority="557">
      <formula>PercentCompleteBeyond</formula>
    </cfRule>
    <cfRule type="expression" dxfId="420" priority="558">
      <formula>Actual</formula>
    </cfRule>
    <cfRule type="expression" dxfId="419" priority="559">
      <formula>ActualBeyond</formula>
    </cfRule>
    <cfRule type="expression" dxfId="418" priority="561">
      <formula>G$4=period_selected</formula>
    </cfRule>
    <cfRule type="expression" dxfId="417" priority="562">
      <formula>MOD(COLUMN(),2)</formula>
    </cfRule>
    <cfRule type="expression" dxfId="416" priority="563">
      <formula>MOD(COLUMN(),2)=0</formula>
    </cfRule>
    <cfRule type="expression" dxfId="415" priority="560">
      <formula>Plan</formula>
    </cfRule>
  </conditionalFormatting>
  <conditionalFormatting sqref="G83:H84">
    <cfRule type="expression" dxfId="414" priority="544">
      <formula>AND($C83&lt;&gt;"",$D83&lt;&gt;"",$E83&lt;&gt;"",$C83&lt;=EOMONTH(G$4,0),($C83+(($D83-$C83)*$E83))&gt;=G$4)</formula>
    </cfRule>
    <cfRule type="expression" dxfId="413" priority="545">
      <formula>AND($C83&lt;&gt;"",$D83&lt;&gt;"",$C83&lt;=EOMONTH(G$4,0),$D83&gt;=G$4)</formula>
    </cfRule>
  </conditionalFormatting>
  <conditionalFormatting sqref="G84:H84">
    <cfRule type="expression" dxfId="412" priority="546">
      <formula>PercentCompleteBeyond</formula>
    </cfRule>
    <cfRule type="expression" dxfId="411" priority="547">
      <formula>Actual</formula>
    </cfRule>
    <cfRule type="expression" dxfId="410" priority="548">
      <formula>ActualBeyond</formula>
    </cfRule>
    <cfRule type="expression" dxfId="409" priority="549">
      <formula>Plan</formula>
    </cfRule>
    <cfRule type="expression" dxfId="408" priority="550">
      <formula>G$4=period_selected</formula>
    </cfRule>
    <cfRule type="expression" dxfId="407" priority="551">
      <formula>MOD(COLUMN(),2)</formula>
    </cfRule>
    <cfRule type="expression" dxfId="406" priority="552">
      <formula>MOD(COLUMN(),2)=0</formula>
    </cfRule>
  </conditionalFormatting>
  <conditionalFormatting sqref="G84:H85">
    <cfRule type="expression" dxfId="405" priority="534">
      <formula>AND($C84&lt;&gt;"",$D84&lt;&gt;"",$C84&lt;=EOMONTH(G$4,0),$D84&gt;=G$4)</formula>
    </cfRule>
    <cfRule type="expression" dxfId="404" priority="533">
      <formula>AND($C84&lt;&gt;"",$D84&lt;&gt;"",$E84&lt;&gt;"",$C84&lt;=EOMONTH(G$4,0),($C84+(($D84-$C84)*$E84))&gt;=G$4)</formula>
    </cfRule>
  </conditionalFormatting>
  <conditionalFormatting sqref="G85:H85">
    <cfRule type="expression" dxfId="403" priority="541">
      <formula>MOD(COLUMN(),2)=0</formula>
    </cfRule>
    <cfRule type="expression" dxfId="402" priority="539">
      <formula>G$4=period_selected</formula>
    </cfRule>
    <cfRule type="expression" dxfId="401" priority="538">
      <formula>Plan</formula>
    </cfRule>
    <cfRule type="expression" dxfId="400" priority="537">
      <formula>ActualBeyond</formula>
    </cfRule>
    <cfRule type="expression" dxfId="399" priority="536">
      <formula>Actual</formula>
    </cfRule>
    <cfRule type="expression" dxfId="398" priority="535">
      <formula>PercentCompleteBeyond</formula>
    </cfRule>
    <cfRule type="expression" dxfId="397" priority="540">
      <formula>MOD(COLUMN(),2)</formula>
    </cfRule>
  </conditionalFormatting>
  <conditionalFormatting sqref="G85:H86">
    <cfRule type="expression" dxfId="396" priority="523">
      <formula>AND($C85&lt;&gt;"",$D85&lt;&gt;"",$C85&lt;=EOMONTH(G$4,0),$D85&gt;=G$4)</formula>
    </cfRule>
    <cfRule type="expression" dxfId="395" priority="522">
      <formula>AND($C85&lt;&gt;"",$D85&lt;&gt;"",$E85&lt;&gt;"",$C85&lt;=EOMONTH(G$4,0),($C85+(($D85-$C85)*$E85))&gt;=G$4)</formula>
    </cfRule>
  </conditionalFormatting>
  <conditionalFormatting sqref="G86:H86">
    <cfRule type="expression" dxfId="394" priority="524">
      <formula>PercentCompleteBeyond</formula>
    </cfRule>
    <cfRule type="expression" dxfId="393" priority="525">
      <formula>Actual</formula>
    </cfRule>
    <cfRule type="expression" dxfId="392" priority="526">
      <formula>ActualBeyond</formula>
    </cfRule>
    <cfRule type="expression" dxfId="391" priority="527">
      <formula>Plan</formula>
    </cfRule>
    <cfRule type="expression" dxfId="390" priority="528">
      <formula>G$4=period_selected</formula>
    </cfRule>
    <cfRule type="expression" dxfId="389" priority="529">
      <formula>MOD(COLUMN(),2)</formula>
    </cfRule>
    <cfRule type="expression" dxfId="388" priority="530">
      <formula>MOD(COLUMN(),2)=0</formula>
    </cfRule>
  </conditionalFormatting>
  <conditionalFormatting sqref="G86:H87">
    <cfRule type="expression" dxfId="387" priority="511">
      <formula>AND($C86&lt;&gt;"",$D86&lt;&gt;"",$E86&lt;&gt;"",$C86&lt;=EOMONTH(G$4,0),($C86+(($D86-$C86)*$E86))&gt;=G$4)</formula>
    </cfRule>
    <cfRule type="expression" dxfId="386" priority="512">
      <formula>AND($C86&lt;&gt;"",$D86&lt;&gt;"",$C86&lt;=EOMONTH(G$4,0),$D86&gt;=G$4)</formula>
    </cfRule>
  </conditionalFormatting>
  <conditionalFormatting sqref="G87:H87">
    <cfRule type="expression" dxfId="385" priority="513">
      <formula>PercentCompleteBeyond</formula>
    </cfRule>
    <cfRule type="expression" dxfId="384" priority="514">
      <formula>Actual</formula>
    </cfRule>
    <cfRule type="expression" dxfId="383" priority="515">
      <formula>ActualBeyond</formula>
    </cfRule>
    <cfRule type="expression" dxfId="382" priority="516">
      <formula>Plan</formula>
    </cfRule>
    <cfRule type="expression" dxfId="381" priority="517">
      <formula>G$4=period_selected</formula>
    </cfRule>
    <cfRule type="expression" dxfId="380" priority="518">
      <formula>MOD(COLUMN(),2)</formula>
    </cfRule>
    <cfRule type="expression" dxfId="379" priority="519">
      <formula>MOD(COLUMN(),2)=0</formula>
    </cfRule>
  </conditionalFormatting>
  <conditionalFormatting sqref="G87:H88">
    <cfRule type="expression" dxfId="378" priority="500">
      <formula>AND($C87&lt;&gt;"",$D87&lt;&gt;"",$E87&lt;&gt;"",$C87&lt;=EOMONTH(G$4,0),($C87+(($D87-$C87)*$E87))&gt;=G$4)</formula>
    </cfRule>
    <cfRule type="expression" dxfId="377" priority="501">
      <formula>AND($C87&lt;&gt;"",$D87&lt;&gt;"",$C87&lt;=EOMONTH(G$4,0),$D87&gt;=G$4)</formula>
    </cfRule>
  </conditionalFormatting>
  <conditionalFormatting sqref="G88:H88">
    <cfRule type="expression" dxfId="376" priority="505">
      <formula>Plan</formula>
    </cfRule>
    <cfRule type="expression" dxfId="375" priority="504">
      <formula>ActualBeyond</formula>
    </cfRule>
    <cfRule type="expression" dxfId="374" priority="503">
      <formula>Actual</formula>
    </cfRule>
    <cfRule type="expression" dxfId="373" priority="502">
      <formula>PercentCompleteBeyond</formula>
    </cfRule>
    <cfRule type="expression" dxfId="372" priority="508">
      <formula>MOD(COLUMN(),2)=0</formula>
    </cfRule>
    <cfRule type="expression" dxfId="371" priority="507">
      <formula>MOD(COLUMN(),2)</formula>
    </cfRule>
    <cfRule type="expression" dxfId="370" priority="506">
      <formula>G$4=period_selected</formula>
    </cfRule>
  </conditionalFormatting>
  <conditionalFormatting sqref="G88:H89">
    <cfRule type="expression" dxfId="369" priority="489">
      <formula>AND($C88&lt;&gt;"",$D88&lt;&gt;"",$E88&lt;&gt;"",$C88&lt;=EOMONTH(G$4,0),($C88+(($D88-$C88)*$E88))&gt;=G$4)</formula>
    </cfRule>
    <cfRule type="expression" dxfId="368" priority="490">
      <formula>AND($C88&lt;&gt;"",$D88&lt;&gt;"",$C88&lt;=EOMONTH(G$4,0),$D88&gt;=G$4)</formula>
    </cfRule>
  </conditionalFormatting>
  <conditionalFormatting sqref="G89:H89">
    <cfRule type="expression" dxfId="367" priority="496">
      <formula>MOD(COLUMN(),2)</formula>
    </cfRule>
    <cfRule type="expression" dxfId="366" priority="495">
      <formula>G$4=period_selected</formula>
    </cfRule>
    <cfRule type="expression" dxfId="365" priority="494">
      <formula>Plan</formula>
    </cfRule>
    <cfRule type="expression" dxfId="364" priority="493">
      <formula>ActualBeyond</formula>
    </cfRule>
    <cfRule type="expression" dxfId="363" priority="492">
      <formula>Actual</formula>
    </cfRule>
    <cfRule type="expression" dxfId="362" priority="497">
      <formula>MOD(COLUMN(),2)=0</formula>
    </cfRule>
    <cfRule type="expression" dxfId="361" priority="491">
      <formula>PercentCompleteBeyond</formula>
    </cfRule>
  </conditionalFormatting>
  <conditionalFormatting sqref="G89:H90">
    <cfRule type="expression" dxfId="360" priority="478">
      <formula>AND($C89&lt;&gt;"",$D89&lt;&gt;"",$E89&lt;&gt;"",$C89&lt;=EOMONTH(G$4,0),($C89+(($D89-$C89)*$E89))&gt;=G$4)</formula>
    </cfRule>
    <cfRule type="expression" dxfId="359" priority="479">
      <formula>AND($C89&lt;&gt;"",$D89&lt;&gt;"",$C89&lt;=EOMONTH(G$4,0),$D89&gt;=G$4)</formula>
    </cfRule>
  </conditionalFormatting>
  <conditionalFormatting sqref="G90:H90">
    <cfRule type="expression" dxfId="358" priority="486">
      <formula>MOD(COLUMN(),2)=0</formula>
    </cfRule>
    <cfRule type="expression" dxfId="357" priority="485">
      <formula>MOD(COLUMN(),2)</formula>
    </cfRule>
    <cfRule type="expression" dxfId="356" priority="484">
      <formula>G$4=period_selected</formula>
    </cfRule>
    <cfRule type="expression" dxfId="355" priority="483">
      <formula>Plan</formula>
    </cfRule>
    <cfRule type="expression" dxfId="354" priority="482">
      <formula>ActualBeyond</formula>
    </cfRule>
    <cfRule type="expression" dxfId="353" priority="481">
      <formula>Actual</formula>
    </cfRule>
    <cfRule type="expression" dxfId="352" priority="480">
      <formula>PercentCompleteBeyond</formula>
    </cfRule>
  </conditionalFormatting>
  <conditionalFormatting sqref="G90:H91">
    <cfRule type="expression" dxfId="351" priority="467">
      <formula>AND($C90&lt;&gt;"",$D90&lt;&gt;"",$E90&lt;&gt;"",$C90&lt;=EOMONTH(G$4,0),($C90+(($D90-$C90)*$E90))&gt;=G$4)</formula>
    </cfRule>
    <cfRule type="expression" dxfId="350" priority="468">
      <formula>AND($C90&lt;&gt;"",$D90&lt;&gt;"",$C90&lt;=EOMONTH(G$4,0),$D90&gt;=G$4)</formula>
    </cfRule>
  </conditionalFormatting>
  <conditionalFormatting sqref="G91:H91">
    <cfRule type="expression" dxfId="349" priority="473">
      <formula>G$4=period_selected</formula>
    </cfRule>
    <cfRule type="expression" dxfId="348" priority="472">
      <formula>Plan</formula>
    </cfRule>
    <cfRule type="expression" dxfId="347" priority="471">
      <formula>ActualBeyond</formula>
    </cfRule>
    <cfRule type="expression" dxfId="346" priority="470">
      <formula>Actual</formula>
    </cfRule>
    <cfRule type="expression" dxfId="345" priority="469">
      <formula>PercentCompleteBeyond</formula>
    </cfRule>
    <cfRule type="expression" dxfId="344" priority="475">
      <formula>MOD(COLUMN(),2)=0</formula>
    </cfRule>
    <cfRule type="expression" dxfId="343" priority="474">
      <formula>MOD(COLUMN(),2)</formula>
    </cfRule>
  </conditionalFormatting>
  <conditionalFormatting sqref="G91:H92">
    <cfRule type="expression" dxfId="342" priority="456">
      <formula>AND($C91&lt;&gt;"",$D91&lt;&gt;"",$E91&lt;&gt;"",$C91&lt;=EOMONTH(G$4,0),($C91+(($D91-$C91)*$E91))&gt;=G$4)</formula>
    </cfRule>
    <cfRule type="expression" dxfId="341" priority="457">
      <formula>AND($C91&lt;&gt;"",$D91&lt;&gt;"",$C91&lt;=EOMONTH(G$4,0),$D91&gt;=G$4)</formula>
    </cfRule>
  </conditionalFormatting>
  <conditionalFormatting sqref="G92:H92">
    <cfRule type="expression" dxfId="340" priority="464">
      <formula>MOD(COLUMN(),2)=0</formula>
    </cfRule>
    <cfRule type="expression" dxfId="339" priority="463">
      <formula>MOD(COLUMN(),2)</formula>
    </cfRule>
    <cfRule type="expression" dxfId="338" priority="462">
      <formula>G$4=period_selected</formula>
    </cfRule>
    <cfRule type="expression" dxfId="337" priority="461">
      <formula>Plan</formula>
    </cfRule>
    <cfRule type="expression" dxfId="336" priority="460">
      <formula>ActualBeyond</formula>
    </cfRule>
    <cfRule type="expression" dxfId="335" priority="459">
      <formula>Actual</formula>
    </cfRule>
    <cfRule type="expression" dxfId="334" priority="458">
      <formula>PercentCompleteBeyond</formula>
    </cfRule>
  </conditionalFormatting>
  <conditionalFormatting sqref="G92:H93">
    <cfRule type="expression" dxfId="333" priority="445">
      <formula>AND($C92&lt;&gt;"",$D92&lt;&gt;"",$E92&lt;&gt;"",$C92&lt;=EOMONTH(G$4,0),($C92+(($D92-$C92)*$E92))&gt;=G$4)</formula>
    </cfRule>
    <cfRule type="expression" dxfId="332" priority="446">
      <formula>AND($C92&lt;&gt;"",$D92&lt;&gt;"",$C92&lt;=EOMONTH(G$4,0),$D92&gt;=G$4)</formula>
    </cfRule>
  </conditionalFormatting>
  <conditionalFormatting sqref="G93:H93">
    <cfRule type="expression" dxfId="331" priority="451">
      <formula>G$4=period_selected</formula>
    </cfRule>
    <cfRule type="expression" dxfId="330" priority="452">
      <formula>MOD(COLUMN(),2)</formula>
    </cfRule>
    <cfRule type="expression" dxfId="329" priority="450">
      <formula>Plan</formula>
    </cfRule>
    <cfRule type="expression" dxfId="328" priority="453">
      <formula>MOD(COLUMN(),2)=0</formula>
    </cfRule>
    <cfRule type="expression" dxfId="327" priority="447">
      <formula>PercentCompleteBeyond</formula>
    </cfRule>
    <cfRule type="expression" dxfId="326" priority="448">
      <formula>Actual</formula>
    </cfRule>
    <cfRule type="expression" dxfId="325" priority="449">
      <formula>ActualBeyond</formula>
    </cfRule>
  </conditionalFormatting>
  <conditionalFormatting sqref="G93:H94">
    <cfRule type="expression" dxfId="324" priority="434">
      <formula>AND($C93&lt;&gt;"",$D93&lt;&gt;"",$E93&lt;&gt;"",$C93&lt;=EOMONTH(G$4,0),($C93+(($D93-$C93)*$E93))&gt;=G$4)</formula>
    </cfRule>
    <cfRule type="expression" dxfId="323" priority="435">
      <formula>AND($C93&lt;&gt;"",$D93&lt;&gt;"",$C93&lt;=EOMONTH(G$4,0),$D93&gt;=G$4)</formula>
    </cfRule>
  </conditionalFormatting>
  <conditionalFormatting sqref="G94:H94">
    <cfRule type="expression" dxfId="322" priority="438">
      <formula>ActualBeyond</formula>
    </cfRule>
    <cfRule type="expression" dxfId="321" priority="436">
      <formula>PercentCompleteBeyond</formula>
    </cfRule>
    <cfRule type="expression" dxfId="320" priority="437">
      <formula>Actual</formula>
    </cfRule>
    <cfRule type="expression" dxfId="319" priority="439">
      <formula>Plan</formula>
    </cfRule>
    <cfRule type="expression" dxfId="318" priority="440">
      <formula>G$4=period_selected</formula>
    </cfRule>
    <cfRule type="expression" dxfId="317" priority="441">
      <formula>MOD(COLUMN(),2)</formula>
    </cfRule>
    <cfRule type="expression" dxfId="316" priority="442">
      <formula>MOD(COLUMN(),2)=0</formula>
    </cfRule>
  </conditionalFormatting>
  <conditionalFormatting sqref="G94:H95">
    <cfRule type="expression" dxfId="315" priority="424">
      <formula>AND($C94&lt;&gt;"",$D94&lt;&gt;"",$C94&lt;=EOMONTH(G$4,0),$D94&gt;=G$4)</formula>
    </cfRule>
    <cfRule type="expression" dxfId="314" priority="423">
      <formula>AND($C94&lt;&gt;"",$D94&lt;&gt;"",$E94&lt;&gt;"",$C94&lt;=EOMONTH(G$4,0),($C94+(($D94-$C94)*$E94))&gt;=G$4)</formula>
    </cfRule>
  </conditionalFormatting>
  <conditionalFormatting sqref="G95:H95">
    <cfRule type="expression" dxfId="313" priority="428">
      <formula>Plan</formula>
    </cfRule>
    <cfRule type="expression" dxfId="312" priority="429">
      <formula>G$4=period_selected</formula>
    </cfRule>
    <cfRule type="expression" dxfId="311" priority="427">
      <formula>ActualBeyond</formula>
    </cfRule>
    <cfRule type="expression" dxfId="310" priority="431">
      <formula>MOD(COLUMN(),2)=0</formula>
    </cfRule>
    <cfRule type="expression" dxfId="309" priority="430">
      <formula>MOD(COLUMN(),2)</formula>
    </cfRule>
    <cfRule type="expression" dxfId="308" priority="426">
      <formula>Actual</formula>
    </cfRule>
    <cfRule type="expression" dxfId="307" priority="425">
      <formula>PercentCompleteBeyond</formula>
    </cfRule>
  </conditionalFormatting>
  <conditionalFormatting sqref="G95:H96">
    <cfRule type="expression" dxfId="306" priority="413">
      <formula>AND($C95&lt;&gt;"",$D95&lt;&gt;"",$C95&lt;=EOMONTH(G$4,0),$D95&gt;=G$4)</formula>
    </cfRule>
    <cfRule type="expression" dxfId="305" priority="412">
      <formula>AND($C95&lt;&gt;"",$D95&lt;&gt;"",$E95&lt;&gt;"",$C95&lt;=EOMONTH(G$4,0),($C95+(($D95-$C95)*$E95))&gt;=G$4)</formula>
    </cfRule>
  </conditionalFormatting>
  <conditionalFormatting sqref="G96:H96">
    <cfRule type="expression" dxfId="304" priority="420">
      <formula>MOD(COLUMN(),2)=0</formula>
    </cfRule>
    <cfRule type="expression" dxfId="303" priority="419">
      <formula>MOD(COLUMN(),2)</formula>
    </cfRule>
    <cfRule type="expression" dxfId="302" priority="418">
      <formula>G$4=period_selected</formula>
    </cfRule>
    <cfRule type="expression" dxfId="301" priority="417">
      <formula>Plan</formula>
    </cfRule>
    <cfRule type="expression" dxfId="300" priority="416">
      <formula>ActualBeyond</formula>
    </cfRule>
    <cfRule type="expression" dxfId="299" priority="415">
      <formula>Actual</formula>
    </cfRule>
    <cfRule type="expression" dxfId="298" priority="414">
      <formula>PercentCompleteBeyond</formula>
    </cfRule>
  </conditionalFormatting>
  <conditionalFormatting sqref="G96:H97">
    <cfRule type="expression" dxfId="297" priority="402">
      <formula>AND($C96&lt;&gt;"",$D96&lt;&gt;"",$C96&lt;=EOMONTH(G$4,0),$D96&gt;=G$4)</formula>
    </cfRule>
    <cfRule type="expression" dxfId="296" priority="401">
      <formula>AND($C96&lt;&gt;"",$D96&lt;&gt;"",$E96&lt;&gt;"",$C96&lt;=EOMONTH(G$4,0),($C96+(($D96-$C96)*$E96))&gt;=G$4)</formula>
    </cfRule>
  </conditionalFormatting>
  <conditionalFormatting sqref="G97:H97">
    <cfRule type="expression" dxfId="295" priority="409">
      <formula>MOD(COLUMN(),2)=0</formula>
    </cfRule>
    <cfRule type="expression" dxfId="294" priority="408">
      <formula>MOD(COLUMN(),2)</formula>
    </cfRule>
    <cfRule type="expression" dxfId="293" priority="407">
      <formula>G$4=period_selected</formula>
    </cfRule>
    <cfRule type="expression" dxfId="292" priority="406">
      <formula>Plan</formula>
    </cfRule>
    <cfRule type="expression" dxfId="291" priority="405">
      <formula>ActualBeyond</formula>
    </cfRule>
    <cfRule type="expression" dxfId="290" priority="404">
      <formula>Actual</formula>
    </cfRule>
    <cfRule type="expression" dxfId="289" priority="403">
      <formula>PercentCompleteBeyond</formula>
    </cfRule>
  </conditionalFormatting>
  <conditionalFormatting sqref="G97:H98">
    <cfRule type="expression" dxfId="288" priority="391">
      <formula>AND($C97&lt;&gt;"",$D97&lt;&gt;"",$C97&lt;=EOMONTH(G$4,0),$D97&gt;=G$4)</formula>
    </cfRule>
    <cfRule type="expression" dxfId="287" priority="390">
      <formula>AND($C97&lt;&gt;"",$D97&lt;&gt;"",$E97&lt;&gt;"",$C97&lt;=EOMONTH(G$4,0),($C97+(($D97-$C97)*$E97))&gt;=G$4)</formula>
    </cfRule>
  </conditionalFormatting>
  <conditionalFormatting sqref="G98:H98">
    <cfRule type="expression" dxfId="286" priority="397">
      <formula>MOD(COLUMN(),2)</formula>
    </cfRule>
    <cfRule type="expression" dxfId="285" priority="396">
      <formula>G$4=period_selected</formula>
    </cfRule>
    <cfRule type="expression" dxfId="284" priority="394">
      <formula>ActualBeyond</formula>
    </cfRule>
    <cfRule type="expression" dxfId="283" priority="393">
      <formula>Actual</formula>
    </cfRule>
    <cfRule type="expression" dxfId="282" priority="392">
      <formula>PercentCompleteBeyond</formula>
    </cfRule>
    <cfRule type="expression" dxfId="281" priority="395">
      <formula>Plan</formula>
    </cfRule>
    <cfRule type="expression" dxfId="280" priority="398">
      <formula>MOD(COLUMN(),2)=0</formula>
    </cfRule>
  </conditionalFormatting>
  <conditionalFormatting sqref="G98:H99">
    <cfRule type="expression" dxfId="279" priority="380">
      <formula>AND($C98&lt;&gt;"",$D98&lt;&gt;"",$C98&lt;=EOMONTH(G$4,0),$D98&gt;=G$4)</formula>
    </cfRule>
    <cfRule type="expression" dxfId="278" priority="379">
      <formula>AND($C98&lt;&gt;"",$D98&lt;&gt;"",$E98&lt;&gt;"",$C98&lt;=EOMONTH(G$4,0),($C98+(($D98-$C98)*$E98))&gt;=G$4)</formula>
    </cfRule>
  </conditionalFormatting>
  <conditionalFormatting sqref="G99:H99">
    <cfRule type="expression" dxfId="277" priority="387">
      <formula>MOD(COLUMN(),2)=0</formula>
    </cfRule>
    <cfRule type="expression" dxfId="276" priority="386">
      <formula>MOD(COLUMN(),2)</formula>
    </cfRule>
    <cfRule type="expression" dxfId="275" priority="385">
      <formula>G$4=period_selected</formula>
    </cfRule>
    <cfRule type="expression" dxfId="274" priority="384">
      <formula>Plan</formula>
    </cfRule>
    <cfRule type="expression" dxfId="273" priority="383">
      <formula>ActualBeyond</formula>
    </cfRule>
    <cfRule type="expression" dxfId="272" priority="382">
      <formula>Actual</formula>
    </cfRule>
    <cfRule type="expression" dxfId="271" priority="381">
      <formula>PercentCompleteBeyond</formula>
    </cfRule>
  </conditionalFormatting>
  <conditionalFormatting sqref="G99:H100">
    <cfRule type="expression" dxfId="270" priority="368">
      <formula>AND($C99&lt;&gt;"",$D99&lt;&gt;"",$E99&lt;&gt;"",$C99&lt;=EOMONTH(G$4,0),($C99+(($D99-$C99)*$E99))&gt;=G$4)</formula>
    </cfRule>
    <cfRule type="expression" dxfId="269" priority="369">
      <formula>AND($C99&lt;&gt;"",$D99&lt;&gt;"",$C99&lt;=EOMONTH(G$4,0),$D99&gt;=G$4)</formula>
    </cfRule>
  </conditionalFormatting>
  <conditionalFormatting sqref="G100:H100">
    <cfRule type="expression" dxfId="268" priority="370">
      <formula>PercentCompleteBeyond</formula>
    </cfRule>
    <cfRule type="expression" dxfId="267" priority="371">
      <formula>Actual</formula>
    </cfRule>
    <cfRule type="expression" dxfId="266" priority="372">
      <formula>ActualBeyond</formula>
    </cfRule>
    <cfRule type="expression" dxfId="265" priority="373">
      <formula>Plan</formula>
    </cfRule>
    <cfRule type="expression" dxfId="264" priority="374">
      <formula>G$4=period_selected</formula>
    </cfRule>
    <cfRule type="expression" dxfId="263" priority="375">
      <formula>MOD(COLUMN(),2)</formula>
    </cfRule>
    <cfRule type="expression" dxfId="262" priority="376">
      <formula>MOD(COLUMN(),2)=0</formula>
    </cfRule>
  </conditionalFormatting>
  <conditionalFormatting sqref="G100:H101">
    <cfRule type="expression" dxfId="261" priority="357">
      <formula>AND($C100&lt;&gt;"",$D100&lt;&gt;"",$E100&lt;&gt;"",$C100&lt;=EOMONTH(G$4,0),($C100+(($D100-$C100)*$E100))&gt;=G$4)</formula>
    </cfRule>
    <cfRule type="expression" dxfId="260" priority="358">
      <formula>AND($C100&lt;&gt;"",$D100&lt;&gt;"",$C100&lt;=EOMONTH(G$4,0),$D100&gt;=G$4)</formula>
    </cfRule>
  </conditionalFormatting>
  <conditionalFormatting sqref="G101:H101">
    <cfRule type="expression" dxfId="259" priority="360">
      <formula>Actual</formula>
    </cfRule>
    <cfRule type="expression" dxfId="258" priority="359">
      <formula>PercentCompleteBeyond</formula>
    </cfRule>
    <cfRule type="expression" dxfId="257" priority="361">
      <formula>ActualBeyond</formula>
    </cfRule>
    <cfRule type="expression" dxfId="256" priority="362">
      <formula>Plan</formula>
    </cfRule>
    <cfRule type="expression" dxfId="255" priority="363">
      <formula>G$4=period_selected</formula>
    </cfRule>
    <cfRule type="expression" dxfId="254" priority="364">
      <formula>MOD(COLUMN(),2)</formula>
    </cfRule>
    <cfRule type="expression" dxfId="253" priority="365">
      <formula>MOD(COLUMN(),2)=0</formula>
    </cfRule>
  </conditionalFormatting>
  <conditionalFormatting sqref="G101:H102">
    <cfRule type="expression" dxfId="252" priority="347">
      <formula>AND($C101&lt;&gt;"",$D101&lt;&gt;"",$C101&lt;=EOMONTH(G$4,0),$D101&gt;=G$4)</formula>
    </cfRule>
    <cfRule type="expression" dxfId="251" priority="346">
      <formula>AND($C101&lt;&gt;"",$D101&lt;&gt;"",$E101&lt;&gt;"",$C101&lt;=EOMONTH(G$4,0),($C101+(($D101-$C101)*$E101))&gt;=G$4)</formula>
    </cfRule>
  </conditionalFormatting>
  <conditionalFormatting sqref="G102:H102">
    <cfRule type="expression" dxfId="250" priority="351">
      <formula>Plan</formula>
    </cfRule>
    <cfRule type="expression" dxfId="249" priority="350">
      <formula>ActualBeyond</formula>
    </cfRule>
    <cfRule type="expression" dxfId="248" priority="349">
      <formula>Actual</formula>
    </cfRule>
    <cfRule type="expression" dxfId="247" priority="348">
      <formula>PercentCompleteBeyond</formula>
    </cfRule>
    <cfRule type="expression" dxfId="246" priority="354">
      <formula>MOD(COLUMN(),2)=0</formula>
    </cfRule>
    <cfRule type="expression" dxfId="245" priority="353">
      <formula>MOD(COLUMN(),2)</formula>
    </cfRule>
    <cfRule type="expression" dxfId="244" priority="352">
      <formula>G$4=period_selected</formula>
    </cfRule>
  </conditionalFormatting>
  <conditionalFormatting sqref="G102:H103">
    <cfRule type="expression" dxfId="243" priority="336">
      <formula>AND($C102&lt;&gt;"",$D102&lt;&gt;"",$C102&lt;=EOMONTH(G$4,0),$D102&gt;=G$4)</formula>
    </cfRule>
    <cfRule type="expression" dxfId="242" priority="335">
      <formula>AND($C102&lt;&gt;"",$D102&lt;&gt;"",$E102&lt;&gt;"",$C102&lt;=EOMONTH(G$4,0),($C102+(($D102-$C102)*$E102))&gt;=G$4)</formula>
    </cfRule>
  </conditionalFormatting>
  <conditionalFormatting sqref="G103:H103">
    <cfRule type="expression" dxfId="241" priority="339">
      <formula>ActualBeyond</formula>
    </cfRule>
    <cfRule type="expression" dxfId="240" priority="343">
      <formula>MOD(COLUMN(),2)=0</formula>
    </cfRule>
    <cfRule type="expression" dxfId="239" priority="342">
      <formula>MOD(COLUMN(),2)</formula>
    </cfRule>
    <cfRule type="expression" dxfId="238" priority="341">
      <formula>G$4=period_selected</formula>
    </cfRule>
    <cfRule type="expression" dxfId="237" priority="340">
      <formula>Plan</formula>
    </cfRule>
    <cfRule type="expression" dxfId="236" priority="338">
      <formula>Actual</formula>
    </cfRule>
    <cfRule type="expression" dxfId="235" priority="337">
      <formula>PercentCompleteBeyond</formula>
    </cfRule>
  </conditionalFormatting>
  <conditionalFormatting sqref="G103:H104">
    <cfRule type="expression" dxfId="234" priority="325">
      <formula>AND($C103&lt;&gt;"",$D103&lt;&gt;"",$C103&lt;=EOMONTH(G$4,0),$D103&gt;=G$4)</formula>
    </cfRule>
    <cfRule type="expression" dxfId="233" priority="324">
      <formula>AND($C103&lt;&gt;"",$D103&lt;&gt;"",$E103&lt;&gt;"",$C103&lt;=EOMONTH(G$4,0),($C103+(($D103-$C103)*$E103))&gt;=G$4)</formula>
    </cfRule>
  </conditionalFormatting>
  <conditionalFormatting sqref="G104:H104">
    <cfRule type="expression" dxfId="232" priority="332">
      <formula>MOD(COLUMN(),2)=0</formula>
    </cfRule>
    <cfRule type="expression" dxfId="231" priority="329">
      <formula>Plan</formula>
    </cfRule>
    <cfRule type="expression" dxfId="230" priority="328">
      <formula>ActualBeyond</formula>
    </cfRule>
    <cfRule type="expression" dxfId="229" priority="327">
      <formula>Actual</formula>
    </cfRule>
    <cfRule type="expression" dxfId="228" priority="326">
      <formula>PercentCompleteBeyond</formula>
    </cfRule>
    <cfRule type="expression" dxfId="227" priority="331">
      <formula>MOD(COLUMN(),2)</formula>
    </cfRule>
    <cfRule type="expression" dxfId="226" priority="330">
      <formula>G$4=period_selected</formula>
    </cfRule>
  </conditionalFormatting>
  <conditionalFormatting sqref="G104:H105">
    <cfRule type="expression" dxfId="225" priority="314">
      <formula>AND($C104&lt;&gt;"",$D104&lt;&gt;"",$C104&lt;=EOMONTH(G$4,0),$D104&gt;=G$4)</formula>
    </cfRule>
    <cfRule type="expression" dxfId="224" priority="313">
      <formula>AND($C104&lt;&gt;"",$D104&lt;&gt;"",$E104&lt;&gt;"",$C104&lt;=EOMONTH(G$4,0),($C104+(($D104-$C104)*$E104))&gt;=G$4)</formula>
    </cfRule>
  </conditionalFormatting>
  <conditionalFormatting sqref="G105:H105">
    <cfRule type="expression" dxfId="223" priority="321">
      <formula>MOD(COLUMN(),2)=0</formula>
    </cfRule>
    <cfRule type="expression" dxfId="222" priority="320">
      <formula>MOD(COLUMN(),2)</formula>
    </cfRule>
    <cfRule type="expression" dxfId="221" priority="319">
      <formula>G$4=period_selected</formula>
    </cfRule>
    <cfRule type="expression" dxfId="220" priority="318">
      <formula>Plan</formula>
    </cfRule>
    <cfRule type="expression" dxfId="219" priority="317">
      <formula>ActualBeyond</formula>
    </cfRule>
    <cfRule type="expression" dxfId="218" priority="316">
      <formula>Actual</formula>
    </cfRule>
    <cfRule type="expression" dxfId="217" priority="315">
      <formula>PercentCompleteBeyond</formula>
    </cfRule>
  </conditionalFormatting>
  <conditionalFormatting sqref="G105:H106">
    <cfRule type="expression" dxfId="216" priority="302">
      <formula>AND($C105&lt;&gt;"",$D105&lt;&gt;"",$E105&lt;&gt;"",$C105&lt;=EOMONTH(G$4,0),($C105+(($D105-$C105)*$E105))&gt;=G$4)</formula>
    </cfRule>
    <cfRule type="expression" dxfId="215" priority="303">
      <formula>AND($C105&lt;&gt;"",$D105&lt;&gt;"",$C105&lt;=EOMONTH(G$4,0),$D105&gt;=G$4)</formula>
    </cfRule>
  </conditionalFormatting>
  <conditionalFormatting sqref="G106:H106">
    <cfRule type="expression" dxfId="214" priority="307">
      <formula>Plan</formula>
    </cfRule>
    <cfRule type="expression" dxfId="213" priority="306">
      <formula>ActualBeyond</formula>
    </cfRule>
    <cfRule type="expression" dxfId="212" priority="305">
      <formula>Actual</formula>
    </cfRule>
    <cfRule type="expression" dxfId="211" priority="304">
      <formula>PercentCompleteBeyond</formula>
    </cfRule>
    <cfRule type="expression" dxfId="210" priority="310">
      <formula>MOD(COLUMN(),2)=0</formula>
    </cfRule>
    <cfRule type="expression" dxfId="209" priority="309">
      <formula>MOD(COLUMN(),2)</formula>
    </cfRule>
    <cfRule type="expression" dxfId="208" priority="308">
      <formula>G$4=period_selected</formula>
    </cfRule>
  </conditionalFormatting>
  <conditionalFormatting sqref="G106:H107">
    <cfRule type="expression" dxfId="207" priority="292">
      <formula>AND($C106&lt;&gt;"",$D106&lt;&gt;"",$C106&lt;=EOMONTH(G$4,0),$D106&gt;=G$4)</formula>
    </cfRule>
    <cfRule type="expression" dxfId="206" priority="291">
      <formula>AND($C106&lt;&gt;"",$D106&lt;&gt;"",$E106&lt;&gt;"",$C106&lt;=EOMONTH(G$4,0),($C106+(($D106-$C106)*$E106))&gt;=G$4)</formula>
    </cfRule>
  </conditionalFormatting>
  <conditionalFormatting sqref="G107:H107">
    <cfRule type="expression" dxfId="205" priority="297">
      <formula>G$4=period_selected</formula>
    </cfRule>
    <cfRule type="expression" dxfId="204" priority="298">
      <formula>MOD(COLUMN(),2)</formula>
    </cfRule>
    <cfRule type="expression" dxfId="203" priority="299">
      <formula>MOD(COLUMN(),2)=0</formula>
    </cfRule>
    <cfRule type="expression" dxfId="202" priority="295">
      <formula>ActualBeyond</formula>
    </cfRule>
    <cfRule type="expression" dxfId="201" priority="296">
      <formula>Plan</formula>
    </cfRule>
    <cfRule type="expression" dxfId="200" priority="294">
      <formula>Actual</formula>
    </cfRule>
    <cfRule type="expression" dxfId="199" priority="293">
      <formula>PercentCompleteBeyond</formula>
    </cfRule>
  </conditionalFormatting>
  <conditionalFormatting sqref="G107:H108">
    <cfRule type="expression" dxfId="198" priority="280">
      <formula>AND($C107&lt;&gt;"",$D107&lt;&gt;"",$E107&lt;&gt;"",$C107&lt;=EOMONTH(G$4,0),($C107+(($D107-$C107)*$E107))&gt;=G$4)</formula>
    </cfRule>
    <cfRule type="expression" dxfId="197" priority="281">
      <formula>AND($C107&lt;&gt;"",$D107&lt;&gt;"",$C107&lt;=EOMONTH(G$4,0),$D107&gt;=G$4)</formula>
    </cfRule>
  </conditionalFormatting>
  <conditionalFormatting sqref="G108:H108">
    <cfRule type="expression" dxfId="196" priority="284">
      <formula>ActualBeyond</formula>
    </cfRule>
    <cfRule type="expression" dxfId="195" priority="282">
      <formula>PercentCompleteBeyond</formula>
    </cfRule>
    <cfRule type="expression" dxfId="194" priority="283">
      <formula>Actual</formula>
    </cfRule>
    <cfRule type="expression" dxfId="193" priority="285">
      <formula>Plan</formula>
    </cfRule>
    <cfRule type="expression" dxfId="192" priority="288">
      <formula>MOD(COLUMN(),2)=0</formula>
    </cfRule>
    <cfRule type="expression" dxfId="191" priority="287">
      <formula>MOD(COLUMN(),2)</formula>
    </cfRule>
    <cfRule type="expression" dxfId="190" priority="286">
      <formula>G$4=period_selected</formula>
    </cfRule>
  </conditionalFormatting>
  <conditionalFormatting sqref="G108:H109">
    <cfRule type="expression" dxfId="189" priority="269">
      <formula>AND($C108&lt;&gt;"",$D108&lt;&gt;"",$E108&lt;&gt;"",$C108&lt;=EOMONTH(G$4,0),($C108+(($D108-$C108)*$E108))&gt;=G$4)</formula>
    </cfRule>
    <cfRule type="expression" dxfId="188" priority="270">
      <formula>AND($C108&lt;&gt;"",$D108&lt;&gt;"",$C108&lt;=EOMONTH(G$4,0),$D108&gt;=G$4)</formula>
    </cfRule>
  </conditionalFormatting>
  <conditionalFormatting sqref="G109:H109">
    <cfRule type="expression" dxfId="187" priority="271">
      <formula>PercentCompleteBeyond</formula>
    </cfRule>
    <cfRule type="expression" dxfId="186" priority="275">
      <formula>G$4=period_selected</formula>
    </cfRule>
    <cfRule type="expression" dxfId="185" priority="272">
      <formula>Actual</formula>
    </cfRule>
    <cfRule type="expression" dxfId="184" priority="273">
      <formula>ActualBeyond</formula>
    </cfRule>
    <cfRule type="expression" dxfId="183" priority="274">
      <formula>Plan</formula>
    </cfRule>
    <cfRule type="expression" dxfId="182" priority="276">
      <formula>MOD(COLUMN(),2)</formula>
    </cfRule>
    <cfRule type="expression" dxfId="181" priority="277">
      <formula>MOD(COLUMN(),2)=0</formula>
    </cfRule>
  </conditionalFormatting>
  <conditionalFormatting sqref="G109:H110">
    <cfRule type="expression" dxfId="180" priority="258">
      <formula>AND($C109&lt;&gt;"",$D109&lt;&gt;"",$E109&lt;&gt;"",$C109&lt;=EOMONTH(G$4,0),($C109+(($D109-$C109)*$E109))&gt;=G$4)</formula>
    </cfRule>
    <cfRule type="expression" dxfId="179" priority="259">
      <formula>AND($C109&lt;&gt;"",$D109&lt;&gt;"",$C109&lt;=EOMONTH(G$4,0),$D109&gt;=G$4)</formula>
    </cfRule>
  </conditionalFormatting>
  <conditionalFormatting sqref="G110:H110">
    <cfRule type="expression" dxfId="178" priority="264">
      <formula>G$4=period_selected</formula>
    </cfRule>
    <cfRule type="expression" dxfId="177" priority="263">
      <formula>Plan</formula>
    </cfRule>
    <cfRule type="expression" dxfId="176" priority="266">
      <formula>MOD(COLUMN(),2)=0</formula>
    </cfRule>
    <cfRule type="expression" dxfId="175" priority="261">
      <formula>Actual</formula>
    </cfRule>
    <cfRule type="expression" dxfId="174" priority="260">
      <formula>PercentCompleteBeyond</formula>
    </cfRule>
    <cfRule type="expression" dxfId="173" priority="265">
      <formula>MOD(COLUMN(),2)</formula>
    </cfRule>
    <cfRule type="expression" dxfId="172" priority="262">
      <formula>ActualBeyond</formula>
    </cfRule>
  </conditionalFormatting>
  <conditionalFormatting sqref="G110:H111">
    <cfRule type="expression" dxfId="171" priority="247">
      <formula>AND($C110&lt;&gt;"",$D110&lt;&gt;"",$E110&lt;&gt;"",$C110&lt;=EOMONTH(G$4,0),($C110+(($D110-$C110)*$E110))&gt;=G$4)</formula>
    </cfRule>
    <cfRule type="expression" dxfId="170" priority="248">
      <formula>AND($C110&lt;&gt;"",$D110&lt;&gt;"",$C110&lt;=EOMONTH(G$4,0),$D110&gt;=G$4)</formula>
    </cfRule>
  </conditionalFormatting>
  <conditionalFormatting sqref="G111:H111">
    <cfRule type="expression" dxfId="169" priority="254">
      <formula>MOD(COLUMN(),2)</formula>
    </cfRule>
    <cfRule type="expression" dxfId="168" priority="253">
      <formula>G$4=period_selected</formula>
    </cfRule>
    <cfRule type="expression" dxfId="167" priority="252">
      <formula>Plan</formula>
    </cfRule>
    <cfRule type="expression" dxfId="166" priority="251">
      <formula>ActualBeyond</formula>
    </cfRule>
    <cfRule type="expression" dxfId="165" priority="250">
      <formula>Actual</formula>
    </cfRule>
    <cfRule type="expression" dxfId="164" priority="249">
      <formula>PercentCompleteBeyond</formula>
    </cfRule>
    <cfRule type="expression" dxfId="163" priority="255">
      <formula>MOD(COLUMN(),2)=0</formula>
    </cfRule>
  </conditionalFormatting>
  <conditionalFormatting sqref="G111:H112">
    <cfRule type="expression" dxfId="162" priority="237">
      <formula>AND($C111&lt;&gt;"",$D111&lt;&gt;"",$C111&lt;=EOMONTH(G$4,0),$D111&gt;=G$4)</formula>
    </cfRule>
    <cfRule type="expression" dxfId="161" priority="236">
      <formula>AND($C111&lt;&gt;"",$D111&lt;&gt;"",$E111&lt;&gt;"",$C111&lt;=EOMONTH(G$4,0),($C111+(($D111-$C111)*$E111))&gt;=G$4)</formula>
    </cfRule>
  </conditionalFormatting>
  <conditionalFormatting sqref="G112:H112">
    <cfRule type="expression" dxfId="160" priority="238">
      <formula>PercentCompleteBeyond</formula>
    </cfRule>
    <cfRule type="expression" dxfId="159" priority="239">
      <formula>Actual</formula>
    </cfRule>
    <cfRule type="expression" dxfId="158" priority="240">
      <formula>ActualBeyond</formula>
    </cfRule>
    <cfRule type="expression" dxfId="157" priority="241">
      <formula>Plan</formula>
    </cfRule>
    <cfRule type="expression" dxfId="156" priority="242">
      <formula>G$4=period_selected</formula>
    </cfRule>
    <cfRule type="expression" dxfId="155" priority="243">
      <formula>MOD(COLUMN(),2)</formula>
    </cfRule>
    <cfRule type="expression" dxfId="154" priority="244">
      <formula>MOD(COLUMN(),2)=0</formula>
    </cfRule>
  </conditionalFormatting>
  <conditionalFormatting sqref="G112:H113">
    <cfRule type="expression" dxfId="153" priority="225">
      <formula>AND($C112&lt;&gt;"",$D112&lt;&gt;"",$E112&lt;&gt;"",$C112&lt;=EOMONTH(G$4,0),($C112+(($D112-$C112)*$E112))&gt;=G$4)</formula>
    </cfRule>
    <cfRule type="expression" dxfId="152" priority="226">
      <formula>AND($C112&lt;&gt;"",$D112&lt;&gt;"",$C112&lt;=EOMONTH(G$4,0),$D112&gt;=G$4)</formula>
    </cfRule>
  </conditionalFormatting>
  <conditionalFormatting sqref="G113:H113">
    <cfRule type="expression" dxfId="151" priority="228">
      <formula>Actual</formula>
    </cfRule>
    <cfRule type="expression" dxfId="150" priority="229">
      <formula>ActualBeyond</formula>
    </cfRule>
    <cfRule type="expression" dxfId="149" priority="230">
      <formula>Plan</formula>
    </cfRule>
    <cfRule type="expression" dxfId="148" priority="232">
      <formula>MOD(COLUMN(),2)</formula>
    </cfRule>
    <cfRule type="expression" dxfId="147" priority="233">
      <formula>MOD(COLUMN(),2)=0</formula>
    </cfRule>
    <cfRule type="expression" dxfId="146" priority="231">
      <formula>G$4=period_selected</formula>
    </cfRule>
    <cfRule type="expression" dxfId="145" priority="227">
      <formula>PercentCompleteBeyond</formula>
    </cfRule>
  </conditionalFormatting>
  <conditionalFormatting sqref="G113:H114">
    <cfRule type="expression" dxfId="144" priority="215">
      <formula>AND($C113&lt;&gt;"",$D113&lt;&gt;"",$C113&lt;=EOMONTH(G$4,0),$D113&gt;=G$4)</formula>
    </cfRule>
    <cfRule type="expression" dxfId="143" priority="214">
      <formula>AND($C113&lt;&gt;"",$D113&lt;&gt;"",$E113&lt;&gt;"",$C113&lt;=EOMONTH(G$4,0),($C113+(($D113-$C113)*$E113))&gt;=G$4)</formula>
    </cfRule>
  </conditionalFormatting>
  <conditionalFormatting sqref="G114:H114">
    <cfRule type="expression" dxfId="142" priority="219">
      <formula>Plan</formula>
    </cfRule>
    <cfRule type="expression" dxfId="141" priority="218">
      <formula>ActualBeyond</formula>
    </cfRule>
    <cfRule type="expression" dxfId="140" priority="217">
      <formula>Actual</formula>
    </cfRule>
    <cfRule type="expression" dxfId="139" priority="216">
      <formula>PercentCompleteBeyond</formula>
    </cfRule>
    <cfRule type="expression" dxfId="138" priority="222">
      <formula>MOD(COLUMN(),2)=0</formula>
    </cfRule>
    <cfRule type="expression" dxfId="137" priority="221">
      <formula>MOD(COLUMN(),2)</formula>
    </cfRule>
    <cfRule type="expression" dxfId="136" priority="220">
      <formula>G$4=period_selected</formula>
    </cfRule>
  </conditionalFormatting>
  <conditionalFormatting sqref="G114:H115">
    <cfRule type="expression" dxfId="135" priority="203">
      <formula>AND($C114&lt;&gt;"",$D114&lt;&gt;"",$E114&lt;&gt;"",$C114&lt;=EOMONTH(G$4,0),($C114+(($D114-$C114)*$E114))&gt;=G$4)</formula>
    </cfRule>
    <cfRule type="expression" dxfId="134" priority="204">
      <formula>AND($C114&lt;&gt;"",$D114&lt;&gt;"",$C114&lt;=EOMONTH(G$4,0),$D114&gt;=G$4)</formula>
    </cfRule>
  </conditionalFormatting>
  <conditionalFormatting sqref="G115:H115">
    <cfRule type="expression" dxfId="133" priority="205">
      <formula>PercentCompleteBeyond</formula>
    </cfRule>
    <cfRule type="expression" dxfId="132" priority="206">
      <formula>Actual</formula>
    </cfRule>
    <cfRule type="expression" dxfId="131" priority="207">
      <formula>ActualBeyond</formula>
    </cfRule>
    <cfRule type="expression" dxfId="130" priority="208">
      <formula>Plan</formula>
    </cfRule>
    <cfRule type="expression" dxfId="129" priority="209">
      <formula>G$4=period_selected</formula>
    </cfRule>
    <cfRule type="expression" dxfId="128" priority="210">
      <formula>MOD(COLUMN(),2)</formula>
    </cfRule>
    <cfRule type="expression" dxfId="127" priority="211">
      <formula>MOD(COLUMN(),2)=0</formula>
    </cfRule>
  </conditionalFormatting>
  <conditionalFormatting sqref="G115:H116">
    <cfRule type="expression" dxfId="126" priority="193">
      <formula>AND($C115&lt;&gt;"",$D115&lt;&gt;"",$C115&lt;=EOMONTH(G$4,0),$D115&gt;=G$4)</formula>
    </cfRule>
    <cfRule type="expression" dxfId="125" priority="192">
      <formula>AND($C115&lt;&gt;"",$D115&lt;&gt;"",$E115&lt;&gt;"",$C115&lt;=EOMONTH(G$4,0),($C115+(($D115-$C115)*$E115))&gt;=G$4)</formula>
    </cfRule>
  </conditionalFormatting>
  <conditionalFormatting sqref="G116:H116">
    <cfRule type="expression" dxfId="124" priority="195">
      <formula>Actual</formula>
    </cfRule>
    <cfRule type="expression" dxfId="123" priority="194">
      <formula>PercentCompleteBeyond</formula>
    </cfRule>
    <cfRule type="expression" dxfId="122" priority="197">
      <formula>Plan</formula>
    </cfRule>
    <cfRule type="expression" dxfId="121" priority="200">
      <formula>MOD(COLUMN(),2)=0</formula>
    </cfRule>
    <cfRule type="expression" dxfId="120" priority="199">
      <formula>MOD(COLUMN(),2)</formula>
    </cfRule>
    <cfRule type="expression" dxfId="119" priority="198">
      <formula>G$4=period_selected</formula>
    </cfRule>
    <cfRule type="expression" dxfId="118" priority="196">
      <formula>ActualBeyond</formula>
    </cfRule>
  </conditionalFormatting>
  <conditionalFormatting sqref="G116:H117">
    <cfRule type="expression" dxfId="117" priority="182">
      <formula>AND($C116&lt;&gt;"",$D116&lt;&gt;"",$C116&lt;=EOMONTH(G$4,0),$D116&gt;=G$4)</formula>
    </cfRule>
    <cfRule type="expression" dxfId="116" priority="181">
      <formula>AND($C116&lt;&gt;"",$D116&lt;&gt;"",$E116&lt;&gt;"",$C116&lt;=EOMONTH(G$4,0),($C116+(($D116-$C116)*$E116))&gt;=G$4)</formula>
    </cfRule>
  </conditionalFormatting>
  <conditionalFormatting sqref="G117:H117">
    <cfRule type="expression" dxfId="115" priority="188">
      <formula>MOD(COLUMN(),2)</formula>
    </cfRule>
    <cfRule type="expression" dxfId="114" priority="186">
      <formula>Plan</formula>
    </cfRule>
    <cfRule type="expression" dxfId="113" priority="185">
      <formula>ActualBeyond</formula>
    </cfRule>
    <cfRule type="expression" dxfId="112" priority="184">
      <formula>Actual</formula>
    </cfRule>
    <cfRule type="expression" dxfId="111" priority="183">
      <formula>PercentCompleteBeyond</formula>
    </cfRule>
    <cfRule type="expression" dxfId="110" priority="189">
      <formula>MOD(COLUMN(),2)=0</formula>
    </cfRule>
    <cfRule type="expression" dxfId="109" priority="187">
      <formula>G$4=period_selected</formula>
    </cfRule>
  </conditionalFormatting>
  <conditionalFormatting sqref="G117:H118">
    <cfRule type="expression" dxfId="108" priority="170">
      <formula>AND($C117&lt;&gt;"",$D117&lt;&gt;"",$E117&lt;&gt;"",$C117&lt;=EOMONTH(G$4,0),($C117+(($D117-$C117)*$E117))&gt;=G$4)</formula>
    </cfRule>
    <cfRule type="expression" dxfId="107" priority="171">
      <formula>AND($C117&lt;&gt;"",$D117&lt;&gt;"",$C117&lt;=EOMONTH(G$4,0),$D117&gt;=G$4)</formula>
    </cfRule>
  </conditionalFormatting>
  <conditionalFormatting sqref="G118:H118">
    <cfRule type="expression" dxfId="106" priority="172">
      <formula>PercentCompleteBeyond</formula>
    </cfRule>
    <cfRule type="expression" dxfId="105" priority="173">
      <formula>Actual</formula>
    </cfRule>
    <cfRule type="expression" dxfId="104" priority="174">
      <formula>ActualBeyond</formula>
    </cfRule>
    <cfRule type="expression" dxfId="103" priority="175">
      <formula>Plan</formula>
    </cfRule>
    <cfRule type="expression" dxfId="102" priority="178">
      <formula>MOD(COLUMN(),2)=0</formula>
    </cfRule>
    <cfRule type="expression" dxfId="101" priority="177">
      <formula>MOD(COLUMN(),2)</formula>
    </cfRule>
    <cfRule type="expression" dxfId="100" priority="176">
      <formula>G$4=period_selected</formula>
    </cfRule>
  </conditionalFormatting>
  <conditionalFormatting sqref="G118:H119">
    <cfRule type="expression" dxfId="99" priority="160">
      <formula>AND($C118&lt;&gt;"",$D118&lt;&gt;"",$C118&lt;=EOMONTH(G$4,0),$D118&gt;=G$4)</formula>
    </cfRule>
    <cfRule type="expression" dxfId="98" priority="159">
      <formula>AND($C118&lt;&gt;"",$D118&lt;&gt;"",$E118&lt;&gt;"",$C118&lt;=EOMONTH(G$4,0),($C118+(($D118-$C118)*$E118))&gt;=G$4)</formula>
    </cfRule>
  </conditionalFormatting>
  <conditionalFormatting sqref="G119:H119">
    <cfRule type="expression" dxfId="97" priority="167">
      <formula>MOD(COLUMN(),2)=0</formula>
    </cfRule>
    <cfRule type="expression" dxfId="96" priority="164">
      <formula>Plan</formula>
    </cfRule>
    <cfRule type="expression" dxfId="95" priority="165">
      <formula>G$4=period_selected</formula>
    </cfRule>
    <cfRule type="expression" dxfId="94" priority="166">
      <formula>MOD(COLUMN(),2)</formula>
    </cfRule>
    <cfRule type="expression" dxfId="93" priority="161">
      <formula>PercentCompleteBeyond</formula>
    </cfRule>
    <cfRule type="expression" dxfId="92" priority="162">
      <formula>Actual</formula>
    </cfRule>
    <cfRule type="expression" dxfId="91" priority="163">
      <formula>ActualBeyond</formula>
    </cfRule>
  </conditionalFormatting>
  <conditionalFormatting sqref="G119:H120">
    <cfRule type="expression" dxfId="90" priority="149">
      <formula>AND($C119&lt;&gt;"",$D119&lt;&gt;"",$C119&lt;=EOMONTH(G$4,0),$D119&gt;=G$4)</formula>
    </cfRule>
    <cfRule type="expression" dxfId="89" priority="148">
      <formula>AND($C119&lt;&gt;"",$D119&lt;&gt;"",$E119&lt;&gt;"",$C119&lt;=EOMONTH(G$4,0),($C119+(($D119-$C119)*$E119))&gt;=G$4)</formula>
    </cfRule>
  </conditionalFormatting>
  <conditionalFormatting sqref="G120:H120">
    <cfRule type="expression" dxfId="88" priority="156">
      <formula>MOD(COLUMN(),2)=0</formula>
    </cfRule>
    <cfRule type="expression" dxfId="87" priority="155">
      <formula>MOD(COLUMN(),2)</formula>
    </cfRule>
    <cfRule type="expression" dxfId="86" priority="153">
      <formula>Plan</formula>
    </cfRule>
    <cfRule type="expression" dxfId="85" priority="151">
      <formula>Actual</formula>
    </cfRule>
    <cfRule type="expression" dxfId="84" priority="150">
      <formula>PercentCompleteBeyond</formula>
    </cfRule>
    <cfRule type="expression" dxfId="83" priority="154">
      <formula>G$4=period_selected</formula>
    </cfRule>
    <cfRule type="expression" dxfId="82" priority="152">
      <formula>ActualBeyond</formula>
    </cfRule>
  </conditionalFormatting>
  <conditionalFormatting sqref="G120:H121">
    <cfRule type="expression" dxfId="81" priority="137">
      <formula>AND($C120&lt;&gt;"",$D120&lt;&gt;"",$E120&lt;&gt;"",$C120&lt;=EOMONTH(G$4,0),($C120+(($D120-$C120)*$E120))&gt;=G$4)</formula>
    </cfRule>
    <cfRule type="expression" dxfId="80" priority="138">
      <formula>AND($C120&lt;&gt;"",$D120&lt;&gt;"",$C120&lt;=EOMONTH(G$4,0),$D120&gt;=G$4)</formula>
    </cfRule>
  </conditionalFormatting>
  <conditionalFormatting sqref="G121:H121">
    <cfRule type="expression" dxfId="79" priority="145">
      <formula>MOD(COLUMN(),2)=0</formula>
    </cfRule>
    <cfRule type="expression" dxfId="78" priority="144">
      <formula>MOD(COLUMN(),2)</formula>
    </cfRule>
    <cfRule type="expression" dxfId="77" priority="143">
      <formula>G$4=period_selected</formula>
    </cfRule>
    <cfRule type="expression" dxfId="76" priority="141">
      <formula>ActualBeyond</formula>
    </cfRule>
    <cfRule type="expression" dxfId="75" priority="139">
      <formula>PercentCompleteBeyond</formula>
    </cfRule>
    <cfRule type="expression" dxfId="74" priority="140">
      <formula>Actual</formula>
    </cfRule>
    <cfRule type="expression" dxfId="73" priority="142">
      <formula>Plan</formula>
    </cfRule>
  </conditionalFormatting>
  <conditionalFormatting sqref="G121:H122">
    <cfRule type="expression" dxfId="72" priority="127">
      <formula>AND($C121&lt;&gt;"",$D121&lt;&gt;"",$C121&lt;=EOMONTH(G$4,0),$D121&gt;=G$4)</formula>
    </cfRule>
    <cfRule type="expression" dxfId="71" priority="126">
      <formula>AND($C121&lt;&gt;"",$D121&lt;&gt;"",$E121&lt;&gt;"",$C121&lt;=EOMONTH(G$4,0),($C121+(($D121-$C121)*$E121))&gt;=G$4)</formula>
    </cfRule>
  </conditionalFormatting>
  <conditionalFormatting sqref="G122:H122 G123:V123">
    <cfRule type="expression" dxfId="70" priority="116">
      <formula>AND($C122&lt;&gt;"",$D122&lt;&gt;"",$C122&lt;=EOMONTH(G$4,0),$D122&gt;=G$4)</formula>
    </cfRule>
  </conditionalFormatting>
  <conditionalFormatting sqref="G122:H122 W33:W122">
    <cfRule type="expression" dxfId="69" priority="128">
      <formula>PercentCompleteBeyond</formula>
    </cfRule>
  </conditionalFormatting>
  <conditionalFormatting sqref="G8:U26 I26:V122 G27:H115">
    <cfRule type="expression" dxfId="68" priority="1">
      <formula>AND($C8&lt;&gt;"",$D8&lt;&gt;"",$E8&gt;0,$C8&lt;=EOMONTH(G$4,0),($C8+(($D8-$C8)*$E8))&gt;=G$4)</formula>
    </cfRule>
    <cfRule type="expression" dxfId="67" priority="2">
      <formula>AND($C8&lt;&gt;"",$D8&lt;&gt;"",$C8&lt;=EOMONTH(G$4,0),$D8&gt;=G$4)</formula>
    </cfRule>
  </conditionalFormatting>
  <conditionalFormatting sqref="G7:V7">
    <cfRule type="expression" dxfId="66" priority="1609">
      <formula>AND($C7&lt;&gt;"",$D7&lt;&gt;"",$E7&lt;&gt;"",$C7&lt;=EOMONTH(G$4,0),($C7+(($D7-$C7)*$E7))&gt;=G$4)</formula>
    </cfRule>
    <cfRule type="expression" dxfId="65" priority="1683">
      <formula>AND($C7&lt;&gt;"",$D7&lt;&gt;"",$C7&lt;=EOMONTH(G$4,0),$D7&gt;=G$4)</formula>
    </cfRule>
  </conditionalFormatting>
  <conditionalFormatting sqref="G7:V26 G27:H115 I27:V122">
    <cfRule type="expression" dxfId="64" priority="66">
      <formula>AND($C7&lt;&gt;"",$D7&lt;&gt;"",$C7&lt;=EOMONTH(G$4,0),$D7&gt;=G$4)</formula>
    </cfRule>
    <cfRule type="expression" dxfId="63" priority="65">
      <formula>AND($C7&lt;&gt;"",$D7&lt;&gt;"",$E7&gt;0,$C7&lt;=EOMONTH(G$4,0),($C7+(($D7-$C7)*$E7))&gt;=G$4)</formula>
    </cfRule>
  </conditionalFormatting>
  <conditionalFormatting sqref="G7:V26">
    <cfRule type="expression" dxfId="62" priority="1552">
      <formula>AND($C7&lt;&gt;"",$D7&lt;&gt;"",$C7&lt;=EOMONTH(G$4,0),$D7&gt;=G$4)</formula>
    </cfRule>
  </conditionalFormatting>
  <conditionalFormatting sqref="G8:V26 G27:H115 I27:V122">
    <cfRule type="expression" dxfId="61" priority="3">
      <formula>AND($C8&lt;&gt;"",$D8&lt;&gt;"",$E8&lt;&gt;"",$C8&lt;=EOMONTH(G$4,0),($C8+(($D8-$C8)*$E8))&gt;=G$4)</formula>
    </cfRule>
    <cfRule type="expression" dxfId="60" priority="4">
      <formula>AND($C8&lt;&gt;"",$D8&lt;&gt;"",$C8&lt;=EOMONTH(G$4,0),$D8&gt;=G$4)</formula>
    </cfRule>
  </conditionalFormatting>
  <conditionalFormatting sqref="G9:V11">
    <cfRule type="expression" dxfId="59" priority="1551">
      <formula>AND($C9&lt;&gt;"",$D9&lt;&gt;"",$E9&lt;&gt;"",$C9&lt;=EOMONTH(G$4,0),($C9+(($D9-$C9)*$E9))&gt;=G$4)</formula>
    </cfRule>
  </conditionalFormatting>
  <conditionalFormatting sqref="G19:V19">
    <cfRule type="expression" dxfId="58" priority="1536">
      <formula>AND($C19&lt;&gt;"",$D19&lt;&gt;"",$C19&lt;=EOMONTH(G$4,0),$D19&gt;=G$4)</formula>
    </cfRule>
    <cfRule type="expression" dxfId="57" priority="1535">
      <formula>AND($C19&lt;&gt;"",$D19&lt;&gt;"",$E19&lt;&gt;"",$C19&lt;=EOMONTH(G$4,0),($C19+(($D19-$C19)*$E19))&gt;=G$4)</formula>
    </cfRule>
  </conditionalFormatting>
  <conditionalFormatting sqref="G20:V26 G27:H33 I27:V122">
    <cfRule type="expression" dxfId="56" priority="1106">
      <formula>AND($C20&lt;&gt;"",$D20&lt;&gt;"",$C20&lt;=EOMONTH(G$4,0),$D20&gt;=G$4)</formula>
    </cfRule>
  </conditionalFormatting>
  <conditionalFormatting sqref="G123:V123 G122:H122">
    <cfRule type="expression" dxfId="55" priority="115">
      <formula>AND($C122&lt;&gt;"",$D122&lt;&gt;"",$E122&lt;&gt;"",$C122&lt;=EOMONTH(G$4,0),($C122+(($D122-$C122)*$E122))&gt;=G$4)</formula>
    </cfRule>
  </conditionalFormatting>
  <conditionalFormatting sqref="G123:V124">
    <cfRule type="expression" dxfId="54" priority="104">
      <formula>AND($C123&lt;&gt;"",$D123&lt;&gt;"",$E123&lt;&gt;"",$C123&lt;=EOMONTH(G$4,0),($C123+(($D123-$C123)*$E123))&gt;=G$4)</formula>
    </cfRule>
    <cfRule type="expression" dxfId="53" priority="105">
      <formula>AND($C123&lt;&gt;"",$D123&lt;&gt;"",$C123&lt;=EOMONTH(G$4,0),$D123&gt;=G$4)</formula>
    </cfRule>
  </conditionalFormatting>
  <conditionalFormatting sqref="G124:V126">
    <cfRule type="expression" dxfId="52" priority="72">
      <formula>AND($C124&lt;&gt;"",$D124&lt;&gt;"",$C124&lt;=EOMONTH(G$4,0),$D124&gt;=G$4)</formula>
    </cfRule>
    <cfRule type="expression" dxfId="51" priority="71">
      <formula>AND($C124&lt;&gt;"",$D124&lt;&gt;"",$E124&lt;&gt;"",$C124&lt;=EOMONTH(G$4,0),($C124+(($D124-$C124)*$E124))&gt;=G$4)</formula>
    </cfRule>
  </conditionalFormatting>
  <conditionalFormatting sqref="G125:V125">
    <cfRule type="expression" dxfId="50" priority="70">
      <formula>AND($C125&lt;&gt;"",$D125&lt;&gt;"",$C125&lt;=EOMONTH(G$4,0),$D125&gt;=G$4)</formula>
    </cfRule>
    <cfRule type="expression" dxfId="49" priority="69">
      <formula>AND($C125&lt;&gt;"",$D125&lt;&gt;"",$E125&lt;&gt;"",$C125&lt;=EOMONTH(G$4,0),($C125+(($D125-$C125)*$E125))&gt;=G$4)</formula>
    </cfRule>
  </conditionalFormatting>
  <conditionalFormatting sqref="G126:V126">
    <cfRule type="expression" dxfId="48" priority="83">
      <formula>AND($C126&lt;&gt;"",$D126&lt;&gt;"",$C126&lt;=EOMONTH(G$4,0),$D126&gt;=G$4)</formula>
    </cfRule>
    <cfRule type="expression" dxfId="47" priority="82">
      <formula>AND($C126&lt;&gt;"",$D126&lt;&gt;"",$E126&lt;&gt;"",$C126&lt;=EOMONTH(G$4,0),($C126+(($D126-$C126)*$E126))&gt;=G$4)</formula>
    </cfRule>
  </conditionalFormatting>
  <conditionalFormatting sqref="G4:W5">
    <cfRule type="expression" dxfId="46" priority="1689">
      <formula>G$4=period_selected</formula>
    </cfRule>
  </conditionalFormatting>
  <conditionalFormatting sqref="G5:W5">
    <cfRule type="expression" dxfId="45" priority="1896">
      <formula>AND(G$4&gt;=#REF!,G$4&lt;=$D5)</formula>
    </cfRule>
  </conditionalFormatting>
  <conditionalFormatting sqref="G6:W11 G8:V26 G12:AA26 W27:AA45 G27:H115 I27:V122">
    <cfRule type="expression" dxfId="44" priority="1691">
      <formula>MOD(COLUMN(),2)=0</formula>
    </cfRule>
    <cfRule type="expression" dxfId="43" priority="1685">
      <formula>Actual</formula>
    </cfRule>
    <cfRule type="expression" dxfId="42" priority="1684">
      <formula>PercentCompleteBeyond</formula>
    </cfRule>
    <cfRule type="expression" dxfId="41" priority="1686">
      <formula>ActualBeyond</formula>
    </cfRule>
    <cfRule type="expression" dxfId="40" priority="1687">
      <formula>Plan</formula>
    </cfRule>
    <cfRule type="expression" dxfId="39" priority="1688">
      <formula>G$4=period_selected</formula>
    </cfRule>
    <cfRule type="expression" dxfId="38" priority="1690">
      <formula>MOD(COLUMN(),2)</formula>
    </cfRule>
  </conditionalFormatting>
  <conditionalFormatting sqref="G123:W123">
    <cfRule type="expression" dxfId="37" priority="117">
      <formula>PercentCompleteBeyond</formula>
    </cfRule>
    <cfRule type="expression" dxfId="36" priority="123">
      <formula>MOD(COLUMN(),2)=0</formula>
    </cfRule>
    <cfRule type="expression" dxfId="35" priority="122">
      <formula>MOD(COLUMN(),2)</formula>
    </cfRule>
    <cfRule type="expression" dxfId="34" priority="121">
      <formula>G$4=period_selected</formula>
    </cfRule>
    <cfRule type="expression" dxfId="33" priority="120">
      <formula>Plan</formula>
    </cfRule>
    <cfRule type="expression" dxfId="32" priority="119">
      <formula>ActualBeyond</formula>
    </cfRule>
    <cfRule type="expression" dxfId="31" priority="118">
      <formula>Actual</formula>
    </cfRule>
  </conditionalFormatting>
  <conditionalFormatting sqref="G124:W124">
    <cfRule type="expression" dxfId="30" priority="107">
      <formula>Actual</formula>
    </cfRule>
    <cfRule type="expression" dxfId="29" priority="106">
      <formula>PercentCompleteBeyond</formula>
    </cfRule>
    <cfRule type="expression" dxfId="28" priority="112">
      <formula>MOD(COLUMN(),2)=0</formula>
    </cfRule>
    <cfRule type="expression" dxfId="27" priority="111">
      <formula>MOD(COLUMN(),2)</formula>
    </cfRule>
    <cfRule type="expression" dxfId="26" priority="110">
      <formula>G$4=period_selected</formula>
    </cfRule>
    <cfRule type="expression" dxfId="25" priority="108">
      <formula>ActualBeyond</formula>
    </cfRule>
    <cfRule type="expression" dxfId="24" priority="109">
      <formula>Plan</formula>
    </cfRule>
  </conditionalFormatting>
  <conditionalFormatting sqref="G125:W125">
    <cfRule type="expression" dxfId="23" priority="77">
      <formula>G$4=period_selected</formula>
    </cfRule>
    <cfRule type="expression" dxfId="22" priority="79">
      <formula>MOD(COLUMN(),2)=0</formula>
    </cfRule>
    <cfRule type="expression" dxfId="21" priority="73">
      <formula>PercentCompleteBeyond</formula>
    </cfRule>
    <cfRule type="expression" dxfId="20" priority="76">
      <formula>Plan</formula>
    </cfRule>
    <cfRule type="expression" dxfId="19" priority="75">
      <formula>ActualBeyond</formula>
    </cfRule>
    <cfRule type="expression" dxfId="18" priority="74">
      <formula>Actual</formula>
    </cfRule>
    <cfRule type="expression" dxfId="17" priority="78">
      <formula>MOD(COLUMN(),2)</formula>
    </cfRule>
  </conditionalFormatting>
  <conditionalFormatting sqref="G126:W126">
    <cfRule type="expression" dxfId="16" priority="90">
      <formula>MOD(COLUMN(),2)=0</formula>
    </cfRule>
    <cfRule type="expression" dxfId="15" priority="89">
      <formula>MOD(COLUMN(),2)</formula>
    </cfRule>
    <cfRule type="expression" dxfId="14" priority="88">
      <formula>G$4=period_selected</formula>
    </cfRule>
    <cfRule type="expression" dxfId="13" priority="87">
      <formula>Plan</formula>
    </cfRule>
    <cfRule type="expression" dxfId="12" priority="86">
      <formula>ActualBeyond</formula>
    </cfRule>
    <cfRule type="expression" dxfId="11" priority="85">
      <formula>Actual</formula>
    </cfRule>
    <cfRule type="expression" dxfId="10" priority="84">
      <formula>PercentCompleteBeyond</formula>
    </cfRule>
  </conditionalFormatting>
  <conditionalFormatting sqref="G12:AA17">
    <cfRule type="expression" dxfId="9" priority="5">
      <formula>AND($C12&lt;&gt;"",$D12&lt;&gt;"",$E12&gt;0,$C12&lt;=EOMONTH(G$4,0),($C12+(($D12-$C12)*$E12))&gt;=G$4)</formula>
    </cfRule>
    <cfRule type="expression" dxfId="8" priority="6">
      <formula>AND($C12&lt;&gt;"",$D12&lt;&gt;"",$C12&lt;=EOMONTH(G$4,0),$D12&gt;=G$4)</formula>
    </cfRule>
  </conditionalFormatting>
  <conditionalFormatting sqref="G12:AA26 G27:H45 I27:V122 W27:AA45">
    <cfRule type="expression" dxfId="7" priority="1537">
      <formula>AND($C12&lt;&gt;"",$D12&lt;&gt;"",$E12&gt;0,$C12&lt;=EOMONTH(G$4,0),($C12+(($D12-$C12)*$E12))&gt;=G$4)</formula>
    </cfRule>
  </conditionalFormatting>
  <conditionalFormatting sqref="G12:AA26 W27:AA45 G27:H115 I27:V122">
    <cfRule type="expression" dxfId="6" priority="1538">
      <formula>AND($C12&lt;&gt;"",$D12&lt;&gt;"",$C12&lt;=EOMONTH(G$4,0),$D12&gt;=G$4)</formula>
    </cfRule>
  </conditionalFormatting>
  <conditionalFormatting sqref="W33:W122 G122:H122">
    <cfRule type="expression" dxfId="5" priority="133">
      <formula>MOD(COLUMN(),2)</formula>
    </cfRule>
    <cfRule type="expression" dxfId="4" priority="134">
      <formula>MOD(COLUMN(),2)=0</formula>
    </cfRule>
    <cfRule type="expression" dxfId="3" priority="129">
      <formula>Actual</formula>
    </cfRule>
    <cfRule type="expression" dxfId="2" priority="130">
      <formula>ActualBeyond</formula>
    </cfRule>
    <cfRule type="expression" dxfId="1" priority="131">
      <formula>Plan</formula>
    </cfRule>
    <cfRule type="expression" dxfId="0" priority="132">
      <formula>G$4=period_selected</formula>
    </cfRule>
  </conditionalFormatting>
  <dataValidations disablePrompts="1" count="11">
    <dataValidation allowBlank="1" showInputMessage="1" showErrorMessage="1" prompt="Title of the project. Enter a new title in this cell. Highlight a period in H2. Chart legend is in J2 to AI2" sqref="B1" xr:uid="{ED285580-83C3-431B-9A16-D61102680F25}"/>
    <dataValidation allowBlank="1" showInputMessage="1" showErrorMessage="1" prompt="Enter the percentage of project completed in column G, starting with cell G5" sqref="E3:E5" xr:uid="{FA3CEEB7-E800-4644-9DEA-B74134FD1C87}"/>
    <dataValidation allowBlank="1" showInputMessage="1" showErrorMessage="1" prompt="Enter plan start period in column C, starting with cell C5" sqref="C3:C5" xr:uid="{0F16D198-D918-44BE-9A5C-DF5D62E38055}"/>
    <dataValidation allowBlank="1" showInputMessage="1" showErrorMessage="1" prompt="Enter activity in column B, starting with cell B5_x000a_" sqref="B3:B5" xr:uid="{795BAF0A-8939-49AE-8ED2-9565472DF140}"/>
    <dataValidation allowBlank="1" showInputMessage="1" showErrorMessage="1" prompt="Periods are charted from 1 to 60 starting from cell H4 to cell BO4 " sqref="G3" xr:uid="{1E9B0C50-4A6F-41BE-852C-76F967D820E7}"/>
    <dataValidation allowBlank="1" showInputMessage="1" showErrorMessage="1" prompt="This legend cell indicates the percentage of project completed" sqref="T2" xr:uid="{9F9C4835-7B1F-4D07-9929-F6ED7D76D8E2}"/>
    <dataValidation allowBlank="1" showInputMessage="1" showErrorMessage="1" prompt="This legend cell indicates plan duration" sqref="I2" xr:uid="{789B4CEB-BB76-4E7B-9163-91AEAA1C5B9D}"/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" xr:uid="{BF08A6A6-090A-4E68-9A0D-E0BE70F0932D}"/>
    <dataValidation allowBlank="1" showInputMessage="1" showErrorMessage="1" prompt="Enter actual duration period in column F, starting with cell F5" sqref="D3:E5" xr:uid="{B9D72044-DD90-459B-9AF3-AC53B49F018F}"/>
    <dataValidation allowBlank="1" showInputMessage="1" showErrorMessage="1" prompt="Select a period to highlight in H2. A Chart legend is in J2 to AI2" sqref="B2:E2" xr:uid="{7CF8D777-70F9-4AD0-8E94-5FFF7F744315}"/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G2" xr:uid="{303C9334-DFA3-4003-88A4-C886E36E8C27}">
      <formula1>$G$4:$W$4</formula1>
    </dataValidation>
  </dataValidations>
  <printOptions horizontalCentered="1"/>
  <pageMargins left="0.45" right="0.45" top="0.5" bottom="0.5" header="0.3" footer="0.3"/>
  <pageSetup paperSize="8" scale="75" fitToHeight="0" orientation="landscape" r:id="rId1"/>
  <headerFooter differentFirst="1">
    <oddFooter>&amp;L_x000D_&amp;1#&amp;"Aptos"&amp;8&amp;K000000 Sensitivity: LNT Construction Internal Use</oddFooter>
    <firstFooter>&amp;L_x000D_&amp;1#&amp;"Aptos"&amp;8&amp;K000000 Sensitivity: LNT Construction Internal Use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35</vt:i4>
      </vt:variant>
    </vt:vector>
  </HeadingPairs>
  <TitlesOfParts>
    <vt:vector size="52" baseType="lpstr">
      <vt:lpstr>OPD - Summary</vt:lpstr>
      <vt:lpstr>OPD</vt:lpstr>
      <vt:lpstr>OPD  Backup Sheet</vt:lpstr>
      <vt:lpstr>EMR</vt:lpstr>
      <vt:lpstr>EMR Backup Sheet</vt:lpstr>
      <vt:lpstr>Academic</vt:lpstr>
      <vt:lpstr>EMR - Activity wise</vt:lpstr>
      <vt:lpstr>Academic (2)</vt:lpstr>
      <vt:lpstr>Type 4</vt:lpstr>
      <vt:lpstr>Type 5</vt:lpstr>
      <vt:lpstr>Type 3</vt:lpstr>
      <vt:lpstr>UG Female</vt:lpstr>
      <vt:lpstr>UGF backup</vt:lpstr>
      <vt:lpstr>EMR </vt:lpstr>
      <vt:lpstr>UG Male</vt:lpstr>
      <vt:lpstr>UG MALE backup</vt:lpstr>
      <vt:lpstr>OPD  </vt:lpstr>
      <vt:lpstr>Academic!period_selected</vt:lpstr>
      <vt:lpstr>'Academic (2)'!period_selected</vt:lpstr>
      <vt:lpstr>'EMR '!period_selected</vt:lpstr>
      <vt:lpstr>'OPD  '!period_selected</vt:lpstr>
      <vt:lpstr>'Type 3'!period_selected</vt:lpstr>
      <vt:lpstr>'Type 5'!period_selected</vt:lpstr>
      <vt:lpstr>'UG Female'!period_selected</vt:lpstr>
      <vt:lpstr>'UG Male'!period_selected</vt:lpstr>
      <vt:lpstr>'Academic (2)'!Print_Area</vt:lpstr>
      <vt:lpstr>Academic!Print_Titles</vt:lpstr>
      <vt:lpstr>'Academic (2)'!Print_Titles</vt:lpstr>
      <vt:lpstr>'EMR '!Print_Titles</vt:lpstr>
      <vt:lpstr>'EMR - Activity wise'!Print_Titles</vt:lpstr>
      <vt:lpstr>'EMR Backup Sheet'!Print_Titles</vt:lpstr>
      <vt:lpstr>'OPD  '!Print_Titles</vt:lpstr>
      <vt:lpstr>'OPD  Backup Sheet'!Print_Titles</vt:lpstr>
      <vt:lpstr>'OPD - Summary'!Print_Titles</vt:lpstr>
      <vt:lpstr>'Type 3'!Print_Titles</vt:lpstr>
      <vt:lpstr>'Type 4'!Print_Titles</vt:lpstr>
      <vt:lpstr>'Type 5'!Print_Titles</vt:lpstr>
      <vt:lpstr>'UG Female'!Print_Titles</vt:lpstr>
      <vt:lpstr>'UG Male'!Print_Titles</vt:lpstr>
      <vt:lpstr>Academic!TitleRegion..BO60</vt:lpstr>
      <vt:lpstr>'Academic (2)'!TitleRegion..BO60</vt:lpstr>
      <vt:lpstr>'EMR '!TitleRegion..BO60</vt:lpstr>
      <vt:lpstr>'EMR - Activity wise'!TitleRegion..BO60</vt:lpstr>
      <vt:lpstr>'EMR Backup Sheet'!TitleRegion..BO60</vt:lpstr>
      <vt:lpstr>'OPD  '!TitleRegion..BO60</vt:lpstr>
      <vt:lpstr>'OPD  Backup Sheet'!TitleRegion..BO60</vt:lpstr>
      <vt:lpstr>'OPD - Summary'!TitleRegion..BO60</vt:lpstr>
      <vt:lpstr>'Type 3'!TitleRegion..BO60</vt:lpstr>
      <vt:lpstr>'Type 4'!TitleRegion..BO60</vt:lpstr>
      <vt:lpstr>'Type 5'!TitleRegion..BO60</vt:lpstr>
      <vt:lpstr>'UG Female'!TitleRegion..BO60</vt:lpstr>
      <vt:lpstr>'UG Male'!TitleRegion..BO60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2021-12-27T22:07:09Z</dcterms:created>
  <dcterms:modified xsi:type="dcterms:W3CDTF">2026-10-09T14:49:51Z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52bb50-aef2-4dc8-bb7f-e0da22648362_Enabled">
    <vt:lpwstr>true</vt:lpwstr>
  </property>
  <property fmtid="{D5CDD505-2E9C-101B-9397-08002B2CF9AE}" pid="3" name="MSIP_Label_ac52bb50-aef2-4dc8-bb7f-e0da22648362_SetDate">
    <vt:lpwstr>2026-05-21T05:58:28Z</vt:lpwstr>
  </property>
  <property fmtid="{D5CDD505-2E9C-101B-9397-08002B2CF9AE}" pid="4" name="MSIP_Label_ac52bb50-aef2-4dc8-bb7f-e0da22648362_Method">
    <vt:lpwstr>Standard</vt:lpwstr>
  </property>
  <property fmtid="{D5CDD505-2E9C-101B-9397-08002B2CF9AE}" pid="5" name="MSIP_Label_ac52bb50-aef2-4dc8-bb7f-e0da22648362_Name">
    <vt:lpwstr>ac52bb50-aef2-4dc8-bb7f-e0da22648362</vt:lpwstr>
  </property>
  <property fmtid="{D5CDD505-2E9C-101B-9397-08002B2CF9AE}" pid="6" name="MSIP_Label_ac52bb50-aef2-4dc8-bb7f-e0da22648362_SiteId">
    <vt:lpwstr>264b9899-fe1b-430b-9509-2154878d5774</vt:lpwstr>
  </property>
  <property fmtid="{D5CDD505-2E9C-101B-9397-08002B2CF9AE}" pid="7" name="MSIP_Label_ac52bb50-aef2-4dc8-bb7f-e0da22648362_ActionId">
    <vt:lpwstr>6b5e5ed6-c313-44a2-84ea-9ee022ed00d9</vt:lpwstr>
  </property>
  <property fmtid="{D5CDD505-2E9C-101B-9397-08002B2CF9AE}" pid="8" name="MSIP_Label_ac52bb50-aef2-4dc8-bb7f-e0da22648362_ContentBits">
    <vt:lpwstr>2</vt:lpwstr>
  </property>
  <property fmtid="{D5CDD505-2E9C-101B-9397-08002B2CF9AE}" pid="9" name="MSIP_Label_ac52bb50-aef2-4dc8-bb7f-e0da22648362_Tag">
    <vt:lpwstr>10, 3, 0, 1</vt:lpwstr>
  </property>
</Properties>
</file>